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skgteko_ucl_ac_uk/Documents/Papers/Data/Methods alamar olink paper tbi/"/>
    </mc:Choice>
  </mc:AlternateContent>
  <xr:revisionPtr revIDLastSave="1" documentId="8_{AD788E5F-5316-441C-B735-DBCAB6EC322E}" xr6:coauthVersionLast="47" xr6:coauthVersionMax="47" xr10:uidLastSave="{493D0553-6A2A-47E2-A7D3-229A23E1DD33}"/>
  <bookViews>
    <workbookView xWindow="-110" yWindow="-110" windowWidth="19420" windowHeight="10300" xr2:uid="{00000000-000D-0000-FFFF-FFFF00000000}"/>
  </bookViews>
  <sheets>
    <sheet name="only olink vs alama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87" i="2" l="1"/>
  <c r="BC87" i="2"/>
  <c r="BD86" i="2"/>
  <c r="BC86" i="2"/>
  <c r="BD85" i="2"/>
  <c r="BC85" i="2"/>
  <c r="BD84" i="2"/>
  <c r="BC84" i="2"/>
  <c r="BD83" i="2"/>
  <c r="BC83" i="2"/>
  <c r="BD82" i="2"/>
  <c r="BC82" i="2"/>
  <c r="BD81" i="2"/>
  <c r="BC81" i="2"/>
  <c r="BD80" i="2"/>
  <c r="BC80" i="2"/>
  <c r="BD79" i="2"/>
  <c r="BC79" i="2"/>
  <c r="BD78" i="2"/>
  <c r="BC78" i="2"/>
  <c r="BD77" i="2"/>
  <c r="BC77" i="2"/>
  <c r="BD76" i="2"/>
  <c r="BC76" i="2"/>
  <c r="BD75" i="2"/>
  <c r="BC75" i="2"/>
  <c r="BD74" i="2"/>
  <c r="BC74" i="2"/>
  <c r="BD73" i="2"/>
  <c r="BC73" i="2"/>
  <c r="BD72" i="2"/>
  <c r="BC72" i="2"/>
  <c r="BD71" i="2"/>
  <c r="BC71" i="2"/>
  <c r="BD70" i="2"/>
  <c r="BC70" i="2"/>
  <c r="BD69" i="2"/>
  <c r="BC69" i="2"/>
  <c r="BD68" i="2"/>
  <c r="BC68" i="2"/>
  <c r="BD67" i="2"/>
  <c r="BC67" i="2"/>
  <c r="BD66" i="2"/>
  <c r="BC66" i="2"/>
  <c r="BD65" i="2"/>
  <c r="BC65" i="2"/>
  <c r="BD64" i="2"/>
  <c r="BC6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9" i="2"/>
  <c r="BC39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D31" i="2"/>
  <c r="BC31" i="2"/>
  <c r="BD30" i="2"/>
  <c r="BC30" i="2"/>
  <c r="BD29" i="2"/>
  <c r="BC29" i="2"/>
  <c r="BD28" i="2"/>
  <c r="BC28" i="2"/>
  <c r="BD27" i="2"/>
  <c r="BC27" i="2"/>
  <c r="BD26" i="2"/>
  <c r="BC26" i="2"/>
  <c r="BD25" i="2"/>
  <c r="BC25" i="2"/>
  <c r="BD24" i="2"/>
  <c r="BC24" i="2"/>
  <c r="BD23" i="2"/>
  <c r="BC23" i="2"/>
  <c r="BD22" i="2"/>
  <c r="BC22" i="2"/>
  <c r="BD21" i="2"/>
  <c r="BC21" i="2"/>
  <c r="BD20" i="2"/>
  <c r="BC20" i="2"/>
  <c r="BD19" i="2"/>
  <c r="BC19" i="2"/>
  <c r="BD18" i="2"/>
  <c r="BC18" i="2"/>
  <c r="BD17" i="2"/>
  <c r="BC17" i="2"/>
  <c r="BD16" i="2"/>
  <c r="BC16" i="2"/>
  <c r="BD15" i="2"/>
  <c r="BC15" i="2"/>
  <c r="BD14" i="2"/>
  <c r="BC14" i="2"/>
  <c r="BD13" i="2"/>
  <c r="BC13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BD5" i="2"/>
  <c r="BC5" i="2"/>
  <c r="BD4" i="2"/>
  <c r="BC4" i="2"/>
  <c r="BD3" i="2"/>
  <c r="BC3" i="2"/>
  <c r="BD2" i="2"/>
  <c r="BC2" i="2"/>
</calcChain>
</file>

<file path=xl/sharedStrings.xml><?xml version="1.0" encoding="utf-8"?>
<sst xmlns="http://schemas.openxmlformats.org/spreadsheetml/2006/main" count="572" uniqueCount="405">
  <si>
    <t>ALAMAR_ID</t>
  </si>
  <si>
    <t>ALAMAR_platepos</t>
  </si>
  <si>
    <t>BIOAX_ID</t>
  </si>
  <si>
    <t>GROUP</t>
  </si>
  <si>
    <t>CCL11</t>
  </si>
  <si>
    <t>CCL3</t>
  </si>
  <si>
    <t>CCL4</t>
  </si>
  <si>
    <t>CX3CL1</t>
  </si>
  <si>
    <t>CXCL1</t>
  </si>
  <si>
    <t>CXCL10</t>
  </si>
  <si>
    <t>GDNF</t>
  </si>
  <si>
    <t>IFNG</t>
  </si>
  <si>
    <t>IL10</t>
  </si>
  <si>
    <t>IL13</t>
  </si>
  <si>
    <t>IL17A</t>
  </si>
  <si>
    <t>IL18</t>
  </si>
  <si>
    <t>IL2</t>
  </si>
  <si>
    <t>IL33</t>
  </si>
  <si>
    <t>IL4</t>
  </si>
  <si>
    <t>IL5</t>
  </si>
  <si>
    <t>IL6</t>
  </si>
  <si>
    <t>IL7</t>
  </si>
  <si>
    <t>NGF</t>
  </si>
  <si>
    <t>S100A12</t>
  </si>
  <si>
    <t>TNF</t>
  </si>
  <si>
    <t>VEGFA</t>
  </si>
  <si>
    <t>bNGF_OLINK</t>
  </si>
  <si>
    <t>CCL3_OLINK</t>
  </si>
  <si>
    <t>CCL4_OLINK</t>
  </si>
  <si>
    <t>CXCL1_OLINK</t>
  </si>
  <si>
    <t>CXCL10_OLINK</t>
  </si>
  <si>
    <t>CCL11_OLINK</t>
  </si>
  <si>
    <t>IL33_OLINK</t>
  </si>
  <si>
    <t>MCP1_OLINK</t>
  </si>
  <si>
    <t>MCP4_OLINK</t>
  </si>
  <si>
    <t>CX3CL1_OLINK</t>
  </si>
  <si>
    <t>GDNF_OLINK</t>
  </si>
  <si>
    <t>IFNg_OLINK</t>
  </si>
  <si>
    <t>IL2_OLINK</t>
  </si>
  <si>
    <t>IL4_OLINK</t>
  </si>
  <si>
    <t>IL5_OLINK</t>
  </si>
  <si>
    <t>IL6_OLINK</t>
  </si>
  <si>
    <t>IL7_OLINK</t>
  </si>
  <si>
    <t>IL10_OLINK</t>
  </si>
  <si>
    <t>IL13_OLINK</t>
  </si>
  <si>
    <t>IL17A_OLINK</t>
  </si>
  <si>
    <t>IL18_OLINK</t>
  </si>
  <si>
    <t>S100_A12_OLINK</t>
  </si>
  <si>
    <t>TNF_OLINK</t>
  </si>
  <si>
    <t>VEGFA_OLINK</t>
  </si>
  <si>
    <t>IL6_IL10</t>
  </si>
  <si>
    <t>A_01_505500_Non-TBI trauma</t>
  </si>
  <si>
    <t>A_01</t>
  </si>
  <si>
    <t>505500</t>
  </si>
  <si>
    <t>NTT</t>
  </si>
  <si>
    <t>8.4246599999999994</t>
  </si>
  <si>
    <t>A_02_505806_Non-TBI trauma</t>
  </si>
  <si>
    <t>A_02</t>
  </si>
  <si>
    <t>505806</t>
  </si>
  <si>
    <t>9.8064800000000005</t>
  </si>
  <si>
    <t>A_03_503871_TBI</t>
  </si>
  <si>
    <t>A_03</t>
  </si>
  <si>
    <t>503871</t>
  </si>
  <si>
    <t>TBI</t>
  </si>
  <si>
    <t>9.2936999999999994</t>
  </si>
  <si>
    <t>A_04_505606_TBI</t>
  </si>
  <si>
    <t>A_04</t>
  </si>
  <si>
    <t>505606</t>
  </si>
  <si>
    <t>9.0615900000000007</t>
  </si>
  <si>
    <t>A_05_504124_TBI</t>
  </si>
  <si>
    <t>A_05</t>
  </si>
  <si>
    <t>504124</t>
  </si>
  <si>
    <t>8.3668200000000006</t>
  </si>
  <si>
    <t>A_06_504027_TBI</t>
  </si>
  <si>
    <t>A_06</t>
  </si>
  <si>
    <t>504027</t>
  </si>
  <si>
    <t>6.8556400000000002</t>
  </si>
  <si>
    <t>A_07_505479_TBI</t>
  </si>
  <si>
    <t>A_07</t>
  </si>
  <si>
    <t>505479</t>
  </si>
  <si>
    <t>10.184150000000001</t>
  </si>
  <si>
    <t>A_08_505335_TBI</t>
  </si>
  <si>
    <t>A_08</t>
  </si>
  <si>
    <t>505335</t>
  </si>
  <si>
    <t>8.6950699999999994</t>
  </si>
  <si>
    <t>A_09_504089_Controls</t>
  </si>
  <si>
    <t>A_09</t>
  </si>
  <si>
    <t>504089</t>
  </si>
  <si>
    <t>CON</t>
  </si>
  <si>
    <t>9.0674899999999994</t>
  </si>
  <si>
    <t>A_10_504086_Controls</t>
  </si>
  <si>
    <t>A_10</t>
  </si>
  <si>
    <t>504086</t>
  </si>
  <si>
    <t>9.4168699999999994</t>
  </si>
  <si>
    <t>A_11_505260_Controls</t>
  </si>
  <si>
    <t>A_11</t>
  </si>
  <si>
    <t>505260</t>
  </si>
  <si>
    <t>9.51206</t>
  </si>
  <si>
    <t>B_01_505496_Controls</t>
  </si>
  <si>
    <t>B_01</t>
  </si>
  <si>
    <t>505496</t>
  </si>
  <si>
    <t>9.5639699999999994</t>
  </si>
  <si>
    <t>B_02_505115_TBI</t>
  </si>
  <si>
    <t>B_02</t>
  </si>
  <si>
    <t>505115</t>
  </si>
  <si>
    <t>9.6544500000000006</t>
  </si>
  <si>
    <t>B_03_505099_Non-TBI trauma</t>
  </si>
  <si>
    <t>B_03</t>
  </si>
  <si>
    <t>505099</t>
  </si>
  <si>
    <t>9.0113099999999999</t>
  </si>
  <si>
    <t>B_04_505402_Controls</t>
  </si>
  <si>
    <t>B_04</t>
  </si>
  <si>
    <t>505402</t>
  </si>
  <si>
    <t>8.7275700000000001</t>
  </si>
  <si>
    <t>B_05_505534_Controls</t>
  </si>
  <si>
    <t>B_05</t>
  </si>
  <si>
    <t>505534</t>
  </si>
  <si>
    <t>8.0738099999999999</t>
  </si>
  <si>
    <t>B_06_505252_Controls</t>
  </si>
  <si>
    <t>B_06</t>
  </si>
  <si>
    <t>505252</t>
  </si>
  <si>
    <t>10.02712</t>
  </si>
  <si>
    <t>B_07_503962_TBI</t>
  </si>
  <si>
    <t>B_07</t>
  </si>
  <si>
    <t>503962</t>
  </si>
  <si>
    <t>8.2882999999999996</t>
  </si>
  <si>
    <t>B_08_505414_Controls</t>
  </si>
  <si>
    <t>B_08</t>
  </si>
  <si>
    <t>505414</t>
  </si>
  <si>
    <t>9.4158299999999997</t>
  </si>
  <si>
    <t>B_09_503812_TBI</t>
  </si>
  <si>
    <t>B_09</t>
  </si>
  <si>
    <t>503812</t>
  </si>
  <si>
    <t>10.23617</t>
  </si>
  <si>
    <t>B_10_504073_TBI</t>
  </si>
  <si>
    <t>B_10</t>
  </si>
  <si>
    <t>504073</t>
  </si>
  <si>
    <t>8.5327999999999999</t>
  </si>
  <si>
    <t>B_11_505251_Controls</t>
  </si>
  <si>
    <t>B_11</t>
  </si>
  <si>
    <t>505251</t>
  </si>
  <si>
    <t>9.4242299999999997</t>
  </si>
  <si>
    <t>C_01_505169_Controls</t>
  </si>
  <si>
    <t>C_01</t>
  </si>
  <si>
    <t>505169</t>
  </si>
  <si>
    <t>9.3761500000000009</t>
  </si>
  <si>
    <t>C_02_505383_TBI</t>
  </si>
  <si>
    <t>C_02</t>
  </si>
  <si>
    <t>505383</t>
  </si>
  <si>
    <t>9.7774699999999992</t>
  </si>
  <si>
    <t>C_03_505415_TBI</t>
  </si>
  <si>
    <t>C_03</t>
  </si>
  <si>
    <t>505415</t>
  </si>
  <si>
    <t>10.334490000000001</t>
  </si>
  <si>
    <t>C_04_505309_Controls</t>
  </si>
  <si>
    <t>C_04</t>
  </si>
  <si>
    <t>505309</t>
  </si>
  <si>
    <t>5.7180799999999996</t>
  </si>
  <si>
    <t>C_05_505809_Non-TBI trauma</t>
  </si>
  <si>
    <t>C_05</t>
  </si>
  <si>
    <t>505809</t>
  </si>
  <si>
    <t>7.9866200000000003</t>
  </si>
  <si>
    <t>C_06_505304_Non-TBI trauma</t>
  </si>
  <si>
    <t>C_06</t>
  </si>
  <si>
    <t>505304</t>
  </si>
  <si>
    <t>7.8532299999999999</t>
  </si>
  <si>
    <t>C_07_505502_Non-TBI trauma</t>
  </si>
  <si>
    <t>C_07</t>
  </si>
  <si>
    <t>505502</t>
  </si>
  <si>
    <t>7.9845100000000002</t>
  </si>
  <si>
    <t>C_08_505607_TBI</t>
  </si>
  <si>
    <t>C_08</t>
  </si>
  <si>
    <t>505607</t>
  </si>
  <si>
    <t>9.7936899999999998</t>
  </si>
  <si>
    <t>C_09_505361_Controls</t>
  </si>
  <si>
    <t>C_09</t>
  </si>
  <si>
    <t>505361</t>
  </si>
  <si>
    <t>7.8811</t>
  </si>
  <si>
    <t>C_10_504178_TBI</t>
  </si>
  <si>
    <t>C_10</t>
  </si>
  <si>
    <t>504178</t>
  </si>
  <si>
    <t>10.764709999999999</t>
  </si>
  <si>
    <t>C_11_505365_Non-TBI trauma</t>
  </si>
  <si>
    <t>C_11</t>
  </si>
  <si>
    <t>505365</t>
  </si>
  <si>
    <t>3.7871100000000002</t>
  </si>
  <si>
    <t>D_01_505133_TBI</t>
  </si>
  <si>
    <t>D_01</t>
  </si>
  <si>
    <t>505133</t>
  </si>
  <si>
    <t>8.8884299999999996</t>
  </si>
  <si>
    <t>D_02_505218_Controls</t>
  </si>
  <si>
    <t>D_02</t>
  </si>
  <si>
    <t>505218</t>
  </si>
  <si>
    <t>8.4110300000000002</t>
  </si>
  <si>
    <t>D_03_505429_Controls</t>
  </si>
  <si>
    <t>D_03</t>
  </si>
  <si>
    <t>505429</t>
  </si>
  <si>
    <t>10.09634</t>
  </si>
  <si>
    <t>D_04_505517_Non-TBI trauma</t>
  </si>
  <si>
    <t>D_04</t>
  </si>
  <si>
    <t>505517</t>
  </si>
  <si>
    <t>8.6865799999999993</t>
  </si>
  <si>
    <t>D_05_504119_TBI</t>
  </si>
  <si>
    <t>D_05</t>
  </si>
  <si>
    <t>504119</t>
  </si>
  <si>
    <t>8.1686300000000003</t>
  </si>
  <si>
    <t>D_06_504101_Controls</t>
  </si>
  <si>
    <t>D_06</t>
  </si>
  <si>
    <t>504101</t>
  </si>
  <si>
    <t>9.8710000000000004</t>
  </si>
  <si>
    <t>D_07_505533_Non-TBI trauma</t>
  </si>
  <si>
    <t>D_07</t>
  </si>
  <si>
    <t>505533</t>
  </si>
  <si>
    <t>8.4845600000000001</t>
  </si>
  <si>
    <t>D_08_505368_Controls</t>
  </si>
  <si>
    <t>D_08</t>
  </si>
  <si>
    <t>505368</t>
  </si>
  <si>
    <t>7.2089100000000004</t>
  </si>
  <si>
    <t>D_09_505091_Non-TBI trauma</t>
  </si>
  <si>
    <t>D_09</t>
  </si>
  <si>
    <t>505091</t>
  </si>
  <si>
    <t>9.8056099999999997</t>
  </si>
  <si>
    <t>D_10_505379_Non-TBI trauma</t>
  </si>
  <si>
    <t>D_10</t>
  </si>
  <si>
    <t>505379</t>
  </si>
  <si>
    <t>9.0597899999999996</t>
  </si>
  <si>
    <t>D_11_505175_TBI</t>
  </si>
  <si>
    <t>D_11</t>
  </si>
  <si>
    <t>505175</t>
  </si>
  <si>
    <t>8.6238499999999991</t>
  </si>
  <si>
    <t>E_01_505347_TBI</t>
  </si>
  <si>
    <t>E_01</t>
  </si>
  <si>
    <t>505347</t>
  </si>
  <si>
    <t>9.7408699999999993</t>
  </si>
  <si>
    <t>E_02_505354_Controls</t>
  </si>
  <si>
    <t>E_02</t>
  </si>
  <si>
    <t>505354</t>
  </si>
  <si>
    <t>7.4364999999999997</t>
  </si>
  <si>
    <t>E_03_505524_Controls</t>
  </si>
  <si>
    <t>E_03</t>
  </si>
  <si>
    <t>505524</t>
  </si>
  <si>
    <t>7.9959300000000004</t>
  </si>
  <si>
    <t>E_04_503953_TBI</t>
  </si>
  <si>
    <t>E_04</t>
  </si>
  <si>
    <t>503953</t>
  </si>
  <si>
    <t>9.1264299999999992</t>
  </si>
  <si>
    <t>E_05_505235_Controls</t>
  </si>
  <si>
    <t>E_05</t>
  </si>
  <si>
    <t>505235</t>
  </si>
  <si>
    <t>10.123290000000001</t>
  </si>
  <si>
    <t>E_06_504159_TBI</t>
  </si>
  <si>
    <t>E_06</t>
  </si>
  <si>
    <t>504159</t>
  </si>
  <si>
    <t>8.1922800000000002</t>
  </si>
  <si>
    <t>E_07_505060_TBI</t>
  </si>
  <si>
    <t>E_07</t>
  </si>
  <si>
    <t>505060</t>
  </si>
  <si>
    <t>8.7588200000000001</t>
  </si>
  <si>
    <t>E_08_503923_TBI</t>
  </si>
  <si>
    <t>E_08</t>
  </si>
  <si>
    <t>503923</t>
  </si>
  <si>
    <t>10.313280000000001</t>
  </si>
  <si>
    <t>E_09_504134_TBI</t>
  </si>
  <si>
    <t>E_09</t>
  </si>
  <si>
    <t>504134</t>
  </si>
  <si>
    <t>9.3660800000000002</t>
  </si>
  <si>
    <t>E_10_505397_TBI</t>
  </si>
  <si>
    <t>E_10</t>
  </si>
  <si>
    <t>505397</t>
  </si>
  <si>
    <t>7.0403200000000004</t>
  </si>
  <si>
    <t>E_11_504021_TBI</t>
  </si>
  <si>
    <t>E_11</t>
  </si>
  <si>
    <t>504021</t>
  </si>
  <si>
    <t>6.7470800000000004</t>
  </si>
  <si>
    <t>F_01_505472_TBI</t>
  </si>
  <si>
    <t>F_01</t>
  </si>
  <si>
    <t>505472</t>
  </si>
  <si>
    <t>9.8115299999999994</t>
  </si>
  <si>
    <t>F_02_505802_Non-TBI trauma</t>
  </si>
  <si>
    <t>F_02</t>
  </si>
  <si>
    <t>505802</t>
  </si>
  <si>
    <t>8.0453799999999998</t>
  </si>
  <si>
    <t>F_03_504085_Controls</t>
  </si>
  <si>
    <t>F_03</t>
  </si>
  <si>
    <t>504085</t>
  </si>
  <si>
    <t>9.2963900000000006</t>
  </si>
  <si>
    <t>F_04_505803_Non-TBI trauma</t>
  </si>
  <si>
    <t>F_04</t>
  </si>
  <si>
    <t>505803</t>
  </si>
  <si>
    <t>8.3530200000000008</t>
  </si>
  <si>
    <t>F_05_505317_Non-TBI trauma</t>
  </si>
  <si>
    <t>F_05</t>
  </si>
  <si>
    <t>505317</t>
  </si>
  <si>
    <t>No Data</t>
  </si>
  <si>
    <t>F_06_505328_Non-TBI trauma</t>
  </si>
  <si>
    <t>F_06</t>
  </si>
  <si>
    <t>505328</t>
  </si>
  <si>
    <t>9.5220599999999997</t>
  </si>
  <si>
    <t>F_07_503971_TBI</t>
  </si>
  <si>
    <t>F_07</t>
  </si>
  <si>
    <t>503971</t>
  </si>
  <si>
    <t>8.3696199999999994</t>
  </si>
  <si>
    <t>F_08_505834_TBI</t>
  </si>
  <si>
    <t>F_08</t>
  </si>
  <si>
    <t>505834</t>
  </si>
  <si>
    <t>8.5680200000000006</t>
  </si>
  <si>
    <t>F_09_505552_Non-TBI trauma</t>
  </si>
  <si>
    <t>F_09</t>
  </si>
  <si>
    <t>505552</t>
  </si>
  <si>
    <t>8.6941299999999995</t>
  </si>
  <si>
    <t>F_10_505333_Non-TBI trauma</t>
  </si>
  <si>
    <t>F_10</t>
  </si>
  <si>
    <t>505333</t>
  </si>
  <si>
    <t>8.9075199999999999</t>
  </si>
  <si>
    <t>F_11_504098_TBI</t>
  </si>
  <si>
    <t>F_11</t>
  </si>
  <si>
    <t>504098</t>
  </si>
  <si>
    <t>8.5879600000000007</t>
  </si>
  <si>
    <t>G_01_505334_Controls</t>
  </si>
  <si>
    <t>G_01</t>
  </si>
  <si>
    <t>505334</t>
  </si>
  <si>
    <t>6.9285199999999998</t>
  </si>
  <si>
    <t>G_02_505573_Controls</t>
  </si>
  <si>
    <t>G_02</t>
  </si>
  <si>
    <t>505573</t>
  </si>
  <si>
    <t>8.50061</t>
  </si>
  <si>
    <t>G_03_505570_TBI</t>
  </si>
  <si>
    <t>G_03</t>
  </si>
  <si>
    <t>505570</t>
  </si>
  <si>
    <t>8.0169099999999993</t>
  </si>
  <si>
    <t>G_04_505465_TBI</t>
  </si>
  <si>
    <t>G_04</t>
  </si>
  <si>
    <t>505465</t>
  </si>
  <si>
    <t>9.1930899999999998</t>
  </si>
  <si>
    <t>G_05_505130_Controls</t>
  </si>
  <si>
    <t>G_05</t>
  </si>
  <si>
    <t>505130</t>
  </si>
  <si>
    <t>9.4156700000000004</t>
  </si>
  <si>
    <t>G_06_505551_Non-TBI trauma</t>
  </si>
  <si>
    <t>G_06</t>
  </si>
  <si>
    <t>505551</t>
  </si>
  <si>
    <t>8.30518</t>
  </si>
  <si>
    <t>G_07_505380_Non-TBI trauma</t>
  </si>
  <si>
    <t>G_07</t>
  </si>
  <si>
    <t>505380</t>
  </si>
  <si>
    <t>9.0894999999999992</t>
  </si>
  <si>
    <t>G_08_503897_TBI</t>
  </si>
  <si>
    <t>G_08</t>
  </si>
  <si>
    <t>503897</t>
  </si>
  <si>
    <t>8.5079200000000004</t>
  </si>
  <si>
    <t>G_09_505542_Non-TBI trauma</t>
  </si>
  <si>
    <t>G_09</t>
  </si>
  <si>
    <t>505542</t>
  </si>
  <si>
    <t>9.2384199999999996</t>
  </si>
  <si>
    <t>G_10_503823_TBI</t>
  </si>
  <si>
    <t>G_10</t>
  </si>
  <si>
    <t>503823</t>
  </si>
  <si>
    <t>6.62521</t>
  </si>
  <si>
    <t>G_11_505319_Controls</t>
  </si>
  <si>
    <t>G_11</t>
  </si>
  <si>
    <t>505319</t>
  </si>
  <si>
    <t>7.75136</t>
  </si>
  <si>
    <t>H_01_505163_Controls</t>
  </si>
  <si>
    <t>H_01</t>
  </si>
  <si>
    <t>505163</t>
  </si>
  <si>
    <t>9.3606400000000001</t>
  </si>
  <si>
    <t>H_02_503896_TBI</t>
  </si>
  <si>
    <t>H_02</t>
  </si>
  <si>
    <t>503896</t>
  </si>
  <si>
    <t>9.4578299999999995</t>
  </si>
  <si>
    <t>H_03_504132_TBI</t>
  </si>
  <si>
    <t>H_03</t>
  </si>
  <si>
    <t>504132</t>
  </si>
  <si>
    <t>8.6073500000000003</t>
  </si>
  <si>
    <t>H_06_505377_Non-TBI trauma</t>
  </si>
  <si>
    <t>H_06</t>
  </si>
  <si>
    <t>505377</t>
  </si>
  <si>
    <t>9.1742699999999999</t>
  </si>
  <si>
    <t>H_07_503857_TBI</t>
  </si>
  <si>
    <t>H_07</t>
  </si>
  <si>
    <t>503857</t>
  </si>
  <si>
    <t>11.3957</t>
  </si>
  <si>
    <t>H_08_505094_Controls</t>
  </si>
  <si>
    <t>H_08</t>
  </si>
  <si>
    <t>505094</t>
  </si>
  <si>
    <t>6.9234200000000001</t>
  </si>
  <si>
    <t>H_09_505263_TBI</t>
  </si>
  <si>
    <t>H_09</t>
  </si>
  <si>
    <t>505263</t>
  </si>
  <si>
    <t>9.6145300000000002</t>
  </si>
  <si>
    <t>H_10_505316_Non-TBI trauma</t>
  </si>
  <si>
    <t>H_10</t>
  </si>
  <si>
    <t>505316</t>
  </si>
  <si>
    <t>8.2736599999999996</t>
  </si>
  <si>
    <t>H_11_505469_TBI</t>
  </si>
  <si>
    <t>H_11</t>
  </si>
  <si>
    <t>505469</t>
  </si>
  <si>
    <t>9.7909299999999995</t>
  </si>
  <si>
    <t>IL6_IL10_OLINK</t>
  </si>
  <si>
    <t>AGE</t>
  </si>
  <si>
    <t>SEX</t>
  </si>
  <si>
    <t>Male</t>
  </si>
  <si>
    <t>Female</t>
  </si>
  <si>
    <t>MCP1</t>
  </si>
  <si>
    <t>MCP4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</si>
</sst>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7437-9B30-47E3-B8A6-7810210D0521}">
  <dimension ref="A1:BD87"/>
  <sheetViews>
    <sheetView tabSelected="1" topLeftCell="AU1" workbookViewId="0">
      <selection activeCell="AV5" sqref="AV5"/>
    </sheetView>
  </sheetViews>
  <sheetFormatPr defaultColWidth="8.81640625" defaultRowHeight="14.5" x14ac:dyDescent="0.35"/>
  <cols>
    <col min="5" max="6" width="10.81640625" customWidth="1"/>
    <col min="7" max="30" width="8.81640625" style="4"/>
    <col min="55" max="55" width="8.81640625" style="4"/>
  </cols>
  <sheetData>
    <row r="1" spans="1:56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399</v>
      </c>
      <c r="F1" s="2" t="s">
        <v>400</v>
      </c>
      <c r="G1" s="3" t="s">
        <v>4</v>
      </c>
      <c r="H1" s="3" t="s">
        <v>404</v>
      </c>
      <c r="I1" s="3" t="s">
        <v>403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3" t="s">
        <v>50</v>
      </c>
      <c r="BD1" s="1" t="s">
        <v>398</v>
      </c>
    </row>
    <row r="2" spans="1:56" x14ac:dyDescent="0.35">
      <c r="A2" t="s">
        <v>85</v>
      </c>
      <c r="B2" t="s">
        <v>86</v>
      </c>
      <c r="C2" t="s">
        <v>87</v>
      </c>
      <c r="D2" t="s">
        <v>88</v>
      </c>
      <c r="E2">
        <v>43</v>
      </c>
      <c r="F2" t="s">
        <v>402</v>
      </c>
      <c r="G2" s="4">
        <v>13.987254308936601</v>
      </c>
      <c r="H2" s="4">
        <v>13.4516839098271</v>
      </c>
      <c r="I2" s="4">
        <v>12.106203337586001</v>
      </c>
      <c r="J2" s="4">
        <v>8.6405427734701892</v>
      </c>
      <c r="K2" s="4">
        <v>9.5385684791886298</v>
      </c>
      <c r="L2" s="4">
        <v>12.466962926559701</v>
      </c>
      <c r="M2" s="4">
        <v>12.750889392121801</v>
      </c>
      <c r="N2" s="4">
        <v>12.0815739193757</v>
      </c>
      <c r="O2" s="4">
        <v>10.5366550423159</v>
      </c>
      <c r="P2" s="4">
        <v>11.334487366700699</v>
      </c>
      <c r="Q2" s="4">
        <v>13.352773997831999</v>
      </c>
      <c r="R2" s="4">
        <v>13.7942432876404</v>
      </c>
      <c r="S2" s="4">
        <v>13.098461865979299</v>
      </c>
      <c r="T2" s="4">
        <v>13.143779226446201</v>
      </c>
      <c r="U2" s="4">
        <v>13.8544255680278</v>
      </c>
      <c r="V2" s="4">
        <v>13.197604844792</v>
      </c>
      <c r="W2" s="4">
        <v>12.1619546433982</v>
      </c>
      <c r="X2" s="4">
        <v>13.625861281366101</v>
      </c>
      <c r="Y2" s="4">
        <v>7.4434522815644204</v>
      </c>
      <c r="Z2" s="4">
        <v>14.760385141362599</v>
      </c>
      <c r="AA2" s="4">
        <v>13.9461475174478</v>
      </c>
      <c r="AB2" s="4">
        <v>12.4081968380237</v>
      </c>
      <c r="AC2" s="4">
        <v>10.736222772206499</v>
      </c>
      <c r="AD2" s="4">
        <v>14.945688723344</v>
      </c>
      <c r="AE2">
        <v>1.7988599999999999</v>
      </c>
      <c r="AF2">
        <v>4.0649600000000001</v>
      </c>
      <c r="AG2">
        <v>4.9734100000000003</v>
      </c>
      <c r="AH2" t="s">
        <v>89</v>
      </c>
      <c r="AI2">
        <v>4.3839399999999999</v>
      </c>
      <c r="AJ2">
        <v>5.82836</v>
      </c>
      <c r="AK2">
        <v>0.49671999999999999</v>
      </c>
      <c r="AL2">
        <v>10.173450000000001</v>
      </c>
      <c r="AM2">
        <v>12.417199999999999</v>
      </c>
      <c r="AN2">
        <v>1.81874</v>
      </c>
      <c r="AO2">
        <v>0.42170999999999997</v>
      </c>
      <c r="AP2">
        <v>6.2127600000000003</v>
      </c>
      <c r="AQ2">
        <v>1.133E-2</v>
      </c>
      <c r="AR2">
        <v>-0.99421000000000004</v>
      </c>
      <c r="AS2">
        <v>4.648E-2</v>
      </c>
      <c r="AT2">
        <v>1.46716</v>
      </c>
      <c r="AU2">
        <v>1.3113900000000001</v>
      </c>
      <c r="AV2">
        <v>1.52949</v>
      </c>
      <c r="AW2">
        <v>-1.4711399999999999</v>
      </c>
      <c r="AX2">
        <v>0.10145</v>
      </c>
      <c r="AY2">
        <v>8.1505299999999998</v>
      </c>
      <c r="AZ2">
        <v>1.32965</v>
      </c>
      <c r="BA2">
        <v>2.6384699999999999</v>
      </c>
      <c r="BB2">
        <v>11.617419999999999</v>
      </c>
      <c r="BC2" s="4">
        <f>Y2-Q2</f>
        <v>-5.9093217162675789</v>
      </c>
      <c r="BD2">
        <f t="shared" ref="BD2:BD65" si="0">AT2-AV2</f>
        <v>-6.2329999999999997E-2</v>
      </c>
    </row>
    <row r="3" spans="1:56" x14ac:dyDescent="0.35">
      <c r="A3" t="s">
        <v>90</v>
      </c>
      <c r="B3" t="s">
        <v>91</v>
      </c>
      <c r="C3" t="s">
        <v>92</v>
      </c>
      <c r="D3" t="s">
        <v>88</v>
      </c>
      <c r="E3">
        <v>47</v>
      </c>
      <c r="F3" t="s">
        <v>401</v>
      </c>
      <c r="G3" s="4">
        <v>15.186007540541601</v>
      </c>
      <c r="H3" s="4">
        <v>14.5348203567497</v>
      </c>
      <c r="I3" s="4">
        <v>13.0194542248665</v>
      </c>
      <c r="J3" s="4">
        <v>9.0602341113544398</v>
      </c>
      <c r="K3" s="4">
        <v>11.1772432618717</v>
      </c>
      <c r="L3" s="4">
        <v>12.6644970334875</v>
      </c>
      <c r="M3" s="4">
        <v>14.2848224370238</v>
      </c>
      <c r="N3" s="4">
        <v>13.954324318362699</v>
      </c>
      <c r="O3" s="4">
        <v>9.9001723638106895</v>
      </c>
      <c r="P3" s="4">
        <v>14.217369695075201</v>
      </c>
      <c r="Q3" s="4">
        <v>11.4536561739201</v>
      </c>
      <c r="R3" s="4">
        <v>14.625854484278101</v>
      </c>
      <c r="S3" s="4">
        <v>11.8241569716042</v>
      </c>
      <c r="T3" s="4">
        <v>11.1347656780416</v>
      </c>
      <c r="U3" s="4">
        <v>14.369131091905301</v>
      </c>
      <c r="V3" s="4">
        <v>13.3356746575003</v>
      </c>
      <c r="W3" s="4">
        <v>14.791800942596799</v>
      </c>
      <c r="X3" s="4">
        <v>14.8848133990844</v>
      </c>
      <c r="Y3" s="4">
        <v>8.5365881234547505</v>
      </c>
      <c r="Z3" s="4">
        <v>14.548566052100099</v>
      </c>
      <c r="AA3" s="4">
        <v>13.342446962124299</v>
      </c>
      <c r="AB3" s="4">
        <v>13.877656608043401</v>
      </c>
      <c r="AC3" s="4">
        <v>10.7089682722465</v>
      </c>
      <c r="AD3" s="4">
        <v>14.8510211348288</v>
      </c>
      <c r="AE3">
        <v>1.9247000000000001</v>
      </c>
      <c r="AF3">
        <v>4.6563699999999999</v>
      </c>
      <c r="AG3">
        <v>6.2150400000000001</v>
      </c>
      <c r="AH3" t="s">
        <v>93</v>
      </c>
      <c r="AI3">
        <v>6.6066200000000004</v>
      </c>
      <c r="AJ3">
        <v>6.9189800000000004</v>
      </c>
      <c r="AK3">
        <v>0.68706</v>
      </c>
      <c r="AL3">
        <v>11.07535</v>
      </c>
      <c r="AM3">
        <v>13.90213</v>
      </c>
      <c r="AN3">
        <v>2.7437299999999998</v>
      </c>
      <c r="AO3">
        <v>1.52155</v>
      </c>
      <c r="AP3">
        <v>9.2260299999999997</v>
      </c>
      <c r="AQ3">
        <v>3.4939999999999999E-2</v>
      </c>
      <c r="AR3">
        <v>-1.2170700000000001</v>
      </c>
      <c r="AS3">
        <v>-0.72577999999999998</v>
      </c>
      <c r="AT3">
        <v>2.6581600000000001</v>
      </c>
      <c r="AU3">
        <v>1.3468599999999999</v>
      </c>
      <c r="AV3">
        <v>1.1543699999999999</v>
      </c>
      <c r="AW3">
        <v>-0.58082</v>
      </c>
      <c r="AX3">
        <v>-0.14630000000000001</v>
      </c>
      <c r="AY3">
        <v>7.8241800000000001</v>
      </c>
      <c r="AZ3">
        <v>2.54657</v>
      </c>
      <c r="BA3">
        <v>2.5694400000000002</v>
      </c>
      <c r="BB3">
        <v>11.405060000000001</v>
      </c>
      <c r="BC3" s="4">
        <f>Y3-Q3</f>
        <v>-2.9170680504653497</v>
      </c>
      <c r="BD3">
        <f t="shared" si="0"/>
        <v>1.5037900000000002</v>
      </c>
    </row>
    <row r="4" spans="1:56" x14ac:dyDescent="0.35">
      <c r="A4" t="s">
        <v>94</v>
      </c>
      <c r="B4" t="s">
        <v>95</v>
      </c>
      <c r="C4" t="s">
        <v>96</v>
      </c>
      <c r="D4" t="s">
        <v>88</v>
      </c>
      <c r="E4">
        <v>37</v>
      </c>
      <c r="F4" t="s">
        <v>401</v>
      </c>
      <c r="G4" s="4">
        <v>14.7703831524802</v>
      </c>
      <c r="H4" s="4">
        <v>14.551772500471801</v>
      </c>
      <c r="I4" s="4">
        <v>13.546071563176501</v>
      </c>
      <c r="J4" s="4">
        <v>8.3230898270634093</v>
      </c>
      <c r="K4" s="4">
        <v>10.634379241537101</v>
      </c>
      <c r="L4" s="4">
        <v>12.6525261518628</v>
      </c>
      <c r="M4" s="4">
        <v>13.169370389711499</v>
      </c>
      <c r="N4" s="4">
        <v>11.995437890852701</v>
      </c>
      <c r="O4" s="4">
        <v>11.268756256103</v>
      </c>
      <c r="P4" s="4">
        <v>10.7913369698491</v>
      </c>
      <c r="Q4" s="4">
        <v>10.8612368979087</v>
      </c>
      <c r="R4" s="4">
        <v>12.8934976234631</v>
      </c>
      <c r="S4" s="4">
        <v>12.969669605374399</v>
      </c>
      <c r="T4" s="4">
        <v>12.3935398219331</v>
      </c>
      <c r="U4" s="4">
        <v>13.273298335551701</v>
      </c>
      <c r="V4" s="4">
        <v>12.673660966730599</v>
      </c>
      <c r="W4" s="4">
        <v>13.8392530299143</v>
      </c>
      <c r="X4" s="4">
        <v>12.983808473347599</v>
      </c>
      <c r="Y4" s="4">
        <v>6.1491021447436998</v>
      </c>
      <c r="Z4" s="4">
        <v>14.375996756523501</v>
      </c>
      <c r="AA4" s="4">
        <v>13.049364116690199</v>
      </c>
      <c r="AB4" s="4">
        <v>12.6744831676495</v>
      </c>
      <c r="AC4" s="4">
        <v>10.3968259614361</v>
      </c>
      <c r="AD4" s="4">
        <v>14.78110881658</v>
      </c>
      <c r="AE4">
        <v>1.83822</v>
      </c>
      <c r="AF4">
        <v>4.0778699999999999</v>
      </c>
      <c r="AG4">
        <v>5.62934</v>
      </c>
      <c r="AH4" t="s">
        <v>97</v>
      </c>
      <c r="AI4">
        <v>5.0559200000000004</v>
      </c>
      <c r="AJ4">
        <v>7.0838700000000001</v>
      </c>
      <c r="AK4">
        <v>0.62932999999999995</v>
      </c>
      <c r="AL4">
        <v>11.34219</v>
      </c>
      <c r="AM4">
        <v>13.93275</v>
      </c>
      <c r="AN4">
        <v>2.8851800000000001</v>
      </c>
      <c r="AO4">
        <v>0.84436</v>
      </c>
      <c r="AP4">
        <v>5.8681400000000004</v>
      </c>
      <c r="AQ4">
        <v>-5.4219999999999997E-2</v>
      </c>
      <c r="AR4">
        <v>-1.04959</v>
      </c>
      <c r="AS4">
        <v>-1.52505</v>
      </c>
      <c r="AT4">
        <v>0.81252000000000002</v>
      </c>
      <c r="AU4">
        <v>1.0180100000000001</v>
      </c>
      <c r="AV4">
        <v>0.67557999999999996</v>
      </c>
      <c r="AW4">
        <v>-1.3731500000000001</v>
      </c>
      <c r="AX4">
        <v>-0.40920000000000001</v>
      </c>
      <c r="AY4">
        <v>8.2550899999999992</v>
      </c>
      <c r="AZ4">
        <v>1.5318000000000001</v>
      </c>
      <c r="BA4">
        <v>2.2300599999999999</v>
      </c>
      <c r="BB4">
        <v>11.591799999999999</v>
      </c>
      <c r="BC4" s="4">
        <f>Y4-Q4</f>
        <v>-4.7121347531650004</v>
      </c>
      <c r="BD4">
        <f t="shared" si="0"/>
        <v>0.13694000000000006</v>
      </c>
    </row>
    <row r="5" spans="1:56" x14ac:dyDescent="0.35">
      <c r="A5" t="s">
        <v>98</v>
      </c>
      <c r="B5" t="s">
        <v>99</v>
      </c>
      <c r="C5" t="s">
        <v>100</v>
      </c>
      <c r="D5" t="s">
        <v>88</v>
      </c>
      <c r="E5">
        <v>18</v>
      </c>
      <c r="F5" t="s">
        <v>401</v>
      </c>
      <c r="G5" s="4">
        <v>14.0123061265872</v>
      </c>
      <c r="H5" s="4">
        <v>14.1971466915122</v>
      </c>
      <c r="I5" s="4">
        <v>12.387655502318401</v>
      </c>
      <c r="J5" s="4">
        <v>8.9620858349026093</v>
      </c>
      <c r="K5" s="4">
        <v>10.272838561489101</v>
      </c>
      <c r="L5" s="4">
        <v>12.8123404672661</v>
      </c>
      <c r="M5" s="4">
        <v>14.2483001918879</v>
      </c>
      <c r="N5" s="4">
        <v>12.7486475151658</v>
      </c>
      <c r="O5" s="4">
        <v>11.260439683844</v>
      </c>
      <c r="P5" s="4">
        <v>10.9159697147818</v>
      </c>
      <c r="Q5" s="4">
        <v>11.5800770975949</v>
      </c>
      <c r="R5" s="4">
        <v>13.3241651069147</v>
      </c>
      <c r="S5" s="4">
        <v>13.2471950179778</v>
      </c>
      <c r="T5" s="4">
        <v>12.842317761457601</v>
      </c>
      <c r="U5" s="4">
        <v>14.0480425466295</v>
      </c>
      <c r="V5" s="4">
        <v>13.519998945497701</v>
      </c>
      <c r="W5" s="4">
        <v>11.9765762718019</v>
      </c>
      <c r="X5" s="4">
        <v>12.185580958565</v>
      </c>
      <c r="Y5" s="4">
        <v>7.7036561145962104</v>
      </c>
      <c r="Z5" s="4">
        <v>15.0811368258566</v>
      </c>
      <c r="AA5" s="4">
        <v>13.7704977090771</v>
      </c>
      <c r="AB5" s="4">
        <v>14.3016647889675</v>
      </c>
      <c r="AC5" s="4">
        <v>11.225379272745799</v>
      </c>
      <c r="AD5" s="4">
        <v>14.681132885514799</v>
      </c>
      <c r="AE5">
        <v>1.7119800000000001</v>
      </c>
      <c r="AF5">
        <v>5.0862400000000001</v>
      </c>
      <c r="AG5">
        <v>6.0939300000000003</v>
      </c>
      <c r="AH5" t="s">
        <v>101</v>
      </c>
      <c r="AI5">
        <v>6.3926100000000003</v>
      </c>
      <c r="AJ5">
        <v>6.8418599999999996</v>
      </c>
      <c r="AK5">
        <v>0.65100999999999998</v>
      </c>
      <c r="AL5">
        <v>11.15085</v>
      </c>
      <c r="AM5">
        <v>13.77495</v>
      </c>
      <c r="AN5">
        <v>2.8634599999999999</v>
      </c>
      <c r="AO5">
        <v>1.3540399999999999</v>
      </c>
      <c r="AP5">
        <v>6.4896700000000003</v>
      </c>
      <c r="AQ5">
        <v>0.13757</v>
      </c>
      <c r="AR5">
        <v>8.2790000000000002E-2</v>
      </c>
      <c r="AS5">
        <v>-1.1165</v>
      </c>
      <c r="AT5">
        <v>2.1245699999999998</v>
      </c>
      <c r="AU5">
        <v>1.8503000000000001</v>
      </c>
      <c r="AV5">
        <v>1.3433600000000001</v>
      </c>
      <c r="AW5">
        <v>-0.47111999999999998</v>
      </c>
      <c r="AX5">
        <v>0.75646000000000002</v>
      </c>
      <c r="AY5">
        <v>8.4419500000000003</v>
      </c>
      <c r="AZ5">
        <v>6.4180299999999999</v>
      </c>
      <c r="BA5">
        <v>3.28226</v>
      </c>
      <c r="BB5">
        <v>11.80627</v>
      </c>
      <c r="BC5" s="4">
        <f>Y5-Q5</f>
        <v>-3.87642098299869</v>
      </c>
      <c r="BD5">
        <f t="shared" si="0"/>
        <v>0.78120999999999974</v>
      </c>
    </row>
    <row r="6" spans="1:56" x14ac:dyDescent="0.35">
      <c r="A6" t="s">
        <v>110</v>
      </c>
      <c r="B6" t="s">
        <v>111</v>
      </c>
      <c r="C6" t="s">
        <v>112</v>
      </c>
      <c r="D6" t="s">
        <v>88</v>
      </c>
      <c r="E6">
        <v>67</v>
      </c>
      <c r="F6" t="s">
        <v>401</v>
      </c>
      <c r="G6" s="4">
        <v>15.3743397076998</v>
      </c>
      <c r="H6" s="4">
        <v>14.3977638188125</v>
      </c>
      <c r="I6" s="4">
        <v>13.443583768575801</v>
      </c>
      <c r="J6" s="4">
        <v>10.053065792208001</v>
      </c>
      <c r="K6" s="4">
        <v>10.6867990534348</v>
      </c>
      <c r="L6" s="4">
        <v>13.444457763465801</v>
      </c>
      <c r="M6" s="4">
        <v>12.8034535668272</v>
      </c>
      <c r="N6" s="4">
        <v>13.9633580597012</v>
      </c>
      <c r="O6" s="4">
        <v>10.3429413067064</v>
      </c>
      <c r="P6" s="4">
        <v>13.111616009796499</v>
      </c>
      <c r="Q6" s="4">
        <v>12.084462351868501</v>
      </c>
      <c r="R6" s="4">
        <v>14.359225266650601</v>
      </c>
      <c r="S6" s="4">
        <v>11.786604319926701</v>
      </c>
      <c r="T6" s="4">
        <v>11.655283210046701</v>
      </c>
      <c r="U6" s="4">
        <v>15.204009737850701</v>
      </c>
      <c r="V6" s="4">
        <v>14.340922679687401</v>
      </c>
      <c r="W6" s="4">
        <v>13.7873892257238</v>
      </c>
      <c r="X6" s="4">
        <v>13.568807558154001</v>
      </c>
      <c r="Y6" s="4">
        <v>8.3334158079596392</v>
      </c>
      <c r="Z6" s="4">
        <v>13.420772765572</v>
      </c>
      <c r="AA6" s="4">
        <v>13.5388608709903</v>
      </c>
      <c r="AB6" s="4">
        <v>11.825519418447101</v>
      </c>
      <c r="AC6" s="4">
        <v>11.6437969127706</v>
      </c>
      <c r="AD6" s="4">
        <v>14.476294364855701</v>
      </c>
      <c r="AE6">
        <v>1.5317799999999999</v>
      </c>
      <c r="AF6">
        <v>5.8335499999999998</v>
      </c>
      <c r="AG6">
        <v>6.3794300000000002</v>
      </c>
      <c r="AH6" t="s">
        <v>113</v>
      </c>
      <c r="AI6">
        <v>7.0638100000000001</v>
      </c>
      <c r="AJ6">
        <v>7.5758299999999998</v>
      </c>
      <c r="AK6">
        <v>0.80930999999999997</v>
      </c>
      <c r="AL6">
        <v>11.818949999999999</v>
      </c>
      <c r="AM6">
        <v>13.876569999999999</v>
      </c>
      <c r="AN6">
        <v>3.5474999999999999</v>
      </c>
      <c r="AO6">
        <v>0.84874000000000005</v>
      </c>
      <c r="AP6">
        <v>8.4670699999999997</v>
      </c>
      <c r="AQ6">
        <v>-0.37464999999999998</v>
      </c>
      <c r="AR6">
        <v>-0.43060999999999999</v>
      </c>
      <c r="AS6">
        <v>-1.21621</v>
      </c>
      <c r="AT6">
        <v>2.7389800000000002</v>
      </c>
      <c r="AU6">
        <v>0.59143000000000001</v>
      </c>
      <c r="AV6">
        <v>1.9854400000000001</v>
      </c>
      <c r="AW6">
        <v>-0.88305</v>
      </c>
      <c r="AX6">
        <v>-0.82782999999999995</v>
      </c>
      <c r="AY6">
        <v>8.4296900000000008</v>
      </c>
      <c r="AZ6">
        <v>0.88070999999999999</v>
      </c>
      <c r="BA6">
        <v>3.7545999999999999</v>
      </c>
      <c r="BB6">
        <v>11.373570000000001</v>
      </c>
      <c r="BC6" s="4">
        <f>Y6-Q6</f>
        <v>-3.7510465439088616</v>
      </c>
      <c r="BD6">
        <f t="shared" si="0"/>
        <v>0.7535400000000001</v>
      </c>
    </row>
    <row r="7" spans="1:56" x14ac:dyDescent="0.35">
      <c r="A7" t="s">
        <v>114</v>
      </c>
      <c r="B7" t="s">
        <v>115</v>
      </c>
      <c r="C7" t="s">
        <v>116</v>
      </c>
      <c r="D7" t="s">
        <v>88</v>
      </c>
      <c r="E7">
        <v>31</v>
      </c>
      <c r="F7" t="s">
        <v>401</v>
      </c>
      <c r="G7" s="4">
        <v>14.626463807921001</v>
      </c>
      <c r="H7" s="4">
        <v>13.9117722496903</v>
      </c>
      <c r="I7" s="4">
        <v>12.906669319428</v>
      </c>
      <c r="J7" s="4">
        <v>9.2785134869405805</v>
      </c>
      <c r="K7" s="4">
        <v>11.6695150006458</v>
      </c>
      <c r="L7" s="4">
        <v>12.769248930078399</v>
      </c>
      <c r="M7" s="4">
        <v>13.402147250912201</v>
      </c>
      <c r="N7" s="4">
        <v>13.5586407621917</v>
      </c>
      <c r="O7" s="4">
        <v>10.4947527473434</v>
      </c>
      <c r="P7" s="4">
        <v>11.2050449706128</v>
      </c>
      <c r="Q7" s="4">
        <v>13.55624989729</v>
      </c>
      <c r="R7" s="4">
        <v>13.4783073794848</v>
      </c>
      <c r="S7" s="4">
        <v>12.8078456980066</v>
      </c>
      <c r="T7" s="4">
        <v>11.2451302139796</v>
      </c>
      <c r="U7" s="4">
        <v>13.6536400742506</v>
      </c>
      <c r="V7" s="4">
        <v>13.309001124556101</v>
      </c>
      <c r="W7" s="4">
        <v>14.219734391787</v>
      </c>
      <c r="X7" s="4">
        <v>10.7721863140564</v>
      </c>
      <c r="Y7" s="4">
        <v>6.4101077064528003</v>
      </c>
      <c r="Z7" s="4">
        <v>13.2502073226864</v>
      </c>
      <c r="AA7" s="4">
        <v>12.2652871047092</v>
      </c>
      <c r="AB7" s="4">
        <v>14.3398661856505</v>
      </c>
      <c r="AC7" s="4">
        <v>11.2293141944652</v>
      </c>
      <c r="AD7" s="4">
        <v>15.080815195933299</v>
      </c>
      <c r="AE7">
        <v>1.61785</v>
      </c>
      <c r="AF7">
        <v>4.8964699999999999</v>
      </c>
      <c r="AG7">
        <v>6.9047799999999997</v>
      </c>
      <c r="AH7" t="s">
        <v>117</v>
      </c>
      <c r="AI7">
        <v>6.3046699999999998</v>
      </c>
      <c r="AJ7">
        <v>7.1923399999999997</v>
      </c>
      <c r="AK7">
        <v>0.33929999999999999</v>
      </c>
      <c r="AL7">
        <v>11.45194</v>
      </c>
      <c r="AM7">
        <v>13.430619999999999</v>
      </c>
      <c r="AN7">
        <v>2.7837999999999998</v>
      </c>
      <c r="AO7">
        <v>2.07456</v>
      </c>
      <c r="AP7">
        <v>6.3991499999999997</v>
      </c>
      <c r="AQ7">
        <v>-0.23285</v>
      </c>
      <c r="AR7">
        <v>-8.8590000000000002E-2</v>
      </c>
      <c r="AS7">
        <v>-0.83438000000000001</v>
      </c>
      <c r="AT7">
        <v>0.87548999999999999</v>
      </c>
      <c r="AU7">
        <v>0.45815</v>
      </c>
      <c r="AV7">
        <v>2.9549300000000001</v>
      </c>
      <c r="AW7">
        <v>-1.34826</v>
      </c>
      <c r="AX7">
        <v>0.33288000000000001</v>
      </c>
      <c r="AY7">
        <v>8.4482700000000008</v>
      </c>
      <c r="AZ7">
        <v>2.8022</v>
      </c>
      <c r="BA7">
        <v>3.8005399999999998</v>
      </c>
      <c r="BB7">
        <v>12.169169999999999</v>
      </c>
      <c r="BC7" s="4">
        <f>Y7-Q7</f>
        <v>-7.1461421908371996</v>
      </c>
      <c r="BD7">
        <f t="shared" si="0"/>
        <v>-2.07944</v>
      </c>
    </row>
    <row r="8" spans="1:56" x14ac:dyDescent="0.35">
      <c r="A8" t="s">
        <v>118</v>
      </c>
      <c r="B8" t="s">
        <v>119</v>
      </c>
      <c r="C8" t="s">
        <v>120</v>
      </c>
      <c r="D8" t="s">
        <v>88</v>
      </c>
      <c r="E8">
        <v>33</v>
      </c>
      <c r="F8" t="s">
        <v>401</v>
      </c>
      <c r="G8" s="4">
        <v>15.2347667771479</v>
      </c>
      <c r="H8" s="4">
        <v>14.1950963991553</v>
      </c>
      <c r="I8" s="4">
        <v>14.0062391857882</v>
      </c>
      <c r="J8" s="4">
        <v>9.1016739300244893</v>
      </c>
      <c r="K8" s="4">
        <v>11.0448430025322</v>
      </c>
      <c r="L8" s="4">
        <v>12.7356972864201</v>
      </c>
      <c r="M8" s="4">
        <v>12.9024056710005</v>
      </c>
      <c r="N8" s="4">
        <v>12.804353309963499</v>
      </c>
      <c r="O8" s="4">
        <v>12.460499583004999</v>
      </c>
      <c r="P8" s="4">
        <v>11.1814478879479</v>
      </c>
      <c r="Q8" s="4">
        <v>11.3784874899127</v>
      </c>
      <c r="R8" s="4">
        <v>12.996031046485101</v>
      </c>
      <c r="S8" s="4">
        <v>13.0707181286657</v>
      </c>
      <c r="T8" s="4">
        <v>14.097659889665501</v>
      </c>
      <c r="U8" s="4">
        <v>13.041564028597101</v>
      </c>
      <c r="V8" s="4">
        <v>13.015597076719301</v>
      </c>
      <c r="W8" s="4">
        <v>13.4690744896591</v>
      </c>
      <c r="X8" s="4">
        <v>12.5345052842192</v>
      </c>
      <c r="Y8" s="4">
        <v>8.1584963507589503</v>
      </c>
      <c r="Z8" s="4">
        <v>15.079145081281901</v>
      </c>
      <c r="AA8" s="4">
        <v>13.1503421271095</v>
      </c>
      <c r="AB8" s="4">
        <v>14.539928272189201</v>
      </c>
      <c r="AC8" s="4">
        <v>11.207706447309899</v>
      </c>
      <c r="AD8" s="4">
        <v>15.0119404923277</v>
      </c>
      <c r="AE8">
        <v>1.7896300000000001</v>
      </c>
      <c r="AF8">
        <v>5.4747700000000004</v>
      </c>
      <c r="AG8">
        <v>6.8624400000000003</v>
      </c>
      <c r="AH8" t="s">
        <v>121</v>
      </c>
      <c r="AI8">
        <v>5.8771199999999997</v>
      </c>
      <c r="AJ8">
        <v>7.9529699999999997</v>
      </c>
      <c r="AK8">
        <v>0.68767999999999996</v>
      </c>
      <c r="AL8">
        <v>12.12543</v>
      </c>
      <c r="AM8">
        <v>14.05106</v>
      </c>
      <c r="AN8">
        <v>3.04555</v>
      </c>
      <c r="AO8">
        <v>1.52613</v>
      </c>
      <c r="AP8">
        <v>7.0370799999999996</v>
      </c>
      <c r="AQ8">
        <v>-0.26699000000000001</v>
      </c>
      <c r="AR8">
        <v>-1.39191</v>
      </c>
      <c r="AS8">
        <v>-0.41416999999999998</v>
      </c>
      <c r="AT8">
        <v>3.1583600000000001</v>
      </c>
      <c r="AU8">
        <v>2.1180099999999999</v>
      </c>
      <c r="AV8">
        <v>1.9092</v>
      </c>
      <c r="AW8">
        <v>-0.55820999999999998</v>
      </c>
      <c r="AX8">
        <v>0.61229999999999996</v>
      </c>
      <c r="AY8">
        <v>9.2201699999999995</v>
      </c>
      <c r="AZ8">
        <v>4.2696899999999998</v>
      </c>
      <c r="BA8">
        <v>3.43777</v>
      </c>
      <c r="BB8">
        <v>10.229419999999999</v>
      </c>
      <c r="BC8" s="4">
        <f>Y8-Q8</f>
        <v>-3.2199911391537501</v>
      </c>
      <c r="BD8">
        <f t="shared" si="0"/>
        <v>1.24916</v>
      </c>
    </row>
    <row r="9" spans="1:56" x14ac:dyDescent="0.35">
      <c r="A9" t="s">
        <v>126</v>
      </c>
      <c r="B9" t="s">
        <v>127</v>
      </c>
      <c r="C9" t="s">
        <v>128</v>
      </c>
      <c r="D9" t="s">
        <v>88</v>
      </c>
      <c r="E9">
        <v>50</v>
      </c>
      <c r="F9" t="s">
        <v>401</v>
      </c>
      <c r="G9" s="4">
        <v>15.427496238854101</v>
      </c>
      <c r="H9" s="4">
        <v>14.849831485726501</v>
      </c>
      <c r="I9" s="4">
        <v>13.8599075202814</v>
      </c>
      <c r="J9" s="4">
        <v>9.1431399079475906</v>
      </c>
      <c r="K9" s="4">
        <v>11.6823210762425</v>
      </c>
      <c r="L9" s="4">
        <v>13.2345792049696</v>
      </c>
      <c r="M9" s="4">
        <v>14.6623055543156</v>
      </c>
      <c r="N9" s="4">
        <v>13.9335103199081</v>
      </c>
      <c r="O9" s="4">
        <v>11.9996372534006</v>
      </c>
      <c r="P9" s="4">
        <v>11.3346442735147</v>
      </c>
      <c r="Q9" s="4">
        <v>12.8415221633103</v>
      </c>
      <c r="R9" s="4">
        <v>13.817104216292099</v>
      </c>
      <c r="S9" s="4">
        <v>12.303959187663899</v>
      </c>
      <c r="T9" s="4">
        <v>12.960304978724199</v>
      </c>
      <c r="U9" s="4">
        <v>14.5206318088938</v>
      </c>
      <c r="V9" s="4">
        <v>13.888261634315899</v>
      </c>
      <c r="W9" s="4">
        <v>13.012623947044601</v>
      </c>
      <c r="X9" s="4">
        <v>13.2129237230654</v>
      </c>
      <c r="Y9" s="4">
        <v>7.4779029187283204</v>
      </c>
      <c r="Z9" s="4">
        <v>14.945137374051701</v>
      </c>
      <c r="AA9" s="4">
        <v>12.8291519105563</v>
      </c>
      <c r="AB9" s="4">
        <v>12.444674811120199</v>
      </c>
      <c r="AC9" s="4">
        <v>11.388279856018899</v>
      </c>
      <c r="AD9" s="4">
        <v>15.318229637687001</v>
      </c>
      <c r="AE9">
        <v>1.8463700000000001</v>
      </c>
      <c r="AF9">
        <v>5.0926600000000004</v>
      </c>
      <c r="AG9">
        <v>7.0046200000000001</v>
      </c>
      <c r="AH9" t="s">
        <v>129</v>
      </c>
      <c r="AI9">
        <v>7.0059199999999997</v>
      </c>
      <c r="AJ9">
        <v>7.7993600000000001</v>
      </c>
      <c r="AK9">
        <v>1.0600700000000001</v>
      </c>
      <c r="AL9">
        <v>11.93271</v>
      </c>
      <c r="AM9">
        <v>14.58901</v>
      </c>
      <c r="AN9">
        <v>3.2876799999999999</v>
      </c>
      <c r="AO9">
        <v>1.8803000000000001</v>
      </c>
      <c r="AP9">
        <v>6.7158600000000002</v>
      </c>
      <c r="AQ9">
        <v>0.30436000000000002</v>
      </c>
      <c r="AR9">
        <v>-1.5365500000000001</v>
      </c>
      <c r="AS9">
        <v>0.41670000000000001</v>
      </c>
      <c r="AT9">
        <v>2.0215000000000001</v>
      </c>
      <c r="AU9">
        <v>1.57697</v>
      </c>
      <c r="AV9">
        <v>2.34666</v>
      </c>
      <c r="AW9">
        <v>-0.97589000000000004</v>
      </c>
      <c r="AX9">
        <v>-0.39139000000000002</v>
      </c>
      <c r="AY9">
        <v>9.7135700000000007</v>
      </c>
      <c r="AZ9">
        <v>1.56131</v>
      </c>
      <c r="BA9">
        <v>3.5972200000000001</v>
      </c>
      <c r="BB9">
        <v>12.42118</v>
      </c>
      <c r="BC9" s="4">
        <f>Y9-Q9</f>
        <v>-5.3636192445819795</v>
      </c>
      <c r="BD9">
        <f t="shared" si="0"/>
        <v>-0.32515999999999989</v>
      </c>
    </row>
    <row r="10" spans="1:56" x14ac:dyDescent="0.35">
      <c r="A10" t="s">
        <v>138</v>
      </c>
      <c r="B10" t="s">
        <v>139</v>
      </c>
      <c r="C10" t="s">
        <v>140</v>
      </c>
      <c r="D10" t="s">
        <v>88</v>
      </c>
      <c r="E10">
        <v>46</v>
      </c>
      <c r="F10" t="s">
        <v>401</v>
      </c>
      <c r="G10" s="4">
        <v>15.0080668247952</v>
      </c>
      <c r="H10" s="4">
        <v>14.7722281762794</v>
      </c>
      <c r="I10" s="4">
        <v>13.781829615858699</v>
      </c>
      <c r="J10" s="4">
        <v>9.7205651799184505</v>
      </c>
      <c r="K10" s="4">
        <v>12.014291266631099</v>
      </c>
      <c r="L10" s="4">
        <v>13.157333178938901</v>
      </c>
      <c r="M10" s="4">
        <v>13.458813084503699</v>
      </c>
      <c r="N10" s="4">
        <v>12.809132094290099</v>
      </c>
      <c r="O10" s="4">
        <v>13.2659082737809</v>
      </c>
      <c r="P10" s="4">
        <v>9.8837312614798591</v>
      </c>
      <c r="Q10" s="4">
        <v>11.475266565451999</v>
      </c>
      <c r="R10" s="4">
        <v>13.8327433829214</v>
      </c>
      <c r="S10" s="4">
        <v>14.0209370926995</v>
      </c>
      <c r="T10" s="4">
        <v>12.2703306348985</v>
      </c>
      <c r="U10" s="4">
        <v>14.1441633650215</v>
      </c>
      <c r="V10" s="4">
        <v>13.5117898240585</v>
      </c>
      <c r="W10" s="4">
        <v>14.585706113901001</v>
      </c>
      <c r="X10" s="4">
        <v>14.1239075602191</v>
      </c>
      <c r="Y10" s="4">
        <v>8.1114526678452297</v>
      </c>
      <c r="Z10" s="4">
        <v>14.769773586207601</v>
      </c>
      <c r="AA10" s="4">
        <v>11.8185373353956</v>
      </c>
      <c r="AB10" s="4">
        <v>14.4941506711515</v>
      </c>
      <c r="AC10" s="4">
        <v>11.369549413449599</v>
      </c>
      <c r="AD10" s="4">
        <v>14.720857724943301</v>
      </c>
      <c r="AE10">
        <v>1.92079</v>
      </c>
      <c r="AF10">
        <v>5.3920599999999999</v>
      </c>
      <c r="AG10">
        <v>6.8942199999999998</v>
      </c>
      <c r="AH10" t="s">
        <v>141</v>
      </c>
      <c r="AI10">
        <v>5.4600600000000004</v>
      </c>
      <c r="AJ10">
        <v>6.9763000000000002</v>
      </c>
      <c r="AK10">
        <v>0.61790999999999996</v>
      </c>
      <c r="AL10">
        <v>11.760579999999999</v>
      </c>
      <c r="AM10">
        <v>14.04772</v>
      </c>
      <c r="AN10">
        <v>2.71306</v>
      </c>
      <c r="AO10">
        <v>1.09989</v>
      </c>
      <c r="AP10">
        <v>4.7680300000000004</v>
      </c>
      <c r="AQ10">
        <v>0.17732000000000001</v>
      </c>
      <c r="AR10">
        <v>1.5557399999999999</v>
      </c>
      <c r="AS10">
        <v>-0.67513999999999996</v>
      </c>
      <c r="AT10">
        <v>2.2481</v>
      </c>
      <c r="AU10">
        <v>1.41584</v>
      </c>
      <c r="AV10">
        <v>0.82540000000000002</v>
      </c>
      <c r="AW10">
        <v>-1.03857</v>
      </c>
      <c r="AX10">
        <v>-0.42365000000000003</v>
      </c>
      <c r="AY10">
        <v>9.5872700000000002</v>
      </c>
      <c r="AZ10">
        <v>2.44712</v>
      </c>
      <c r="BA10">
        <v>3.3273899999999998</v>
      </c>
      <c r="BB10">
        <v>11.501300000000001</v>
      </c>
      <c r="BC10" s="4">
        <f>Y10-Q10</f>
        <v>-3.3638138976067697</v>
      </c>
      <c r="BD10">
        <f t="shared" si="0"/>
        <v>1.4226999999999999</v>
      </c>
    </row>
    <row r="11" spans="1:56" x14ac:dyDescent="0.35">
      <c r="A11" t="s">
        <v>142</v>
      </c>
      <c r="B11" t="s">
        <v>143</v>
      </c>
      <c r="C11" t="s">
        <v>144</v>
      </c>
      <c r="D11" t="s">
        <v>88</v>
      </c>
      <c r="E11">
        <v>34</v>
      </c>
      <c r="F11" t="s">
        <v>402</v>
      </c>
      <c r="G11" s="4">
        <v>14.8685852032703</v>
      </c>
      <c r="H11" s="4">
        <v>14.5580674351414</v>
      </c>
      <c r="I11" s="4">
        <v>13.711113743836099</v>
      </c>
      <c r="J11" s="4">
        <v>8.9961810941417504</v>
      </c>
      <c r="K11" s="4">
        <v>11.1184075410569</v>
      </c>
      <c r="L11" s="4">
        <v>13.142150934874801</v>
      </c>
      <c r="M11" s="4">
        <v>14.0829201131146</v>
      </c>
      <c r="N11" s="4">
        <v>13.432671014923599</v>
      </c>
      <c r="O11" s="4">
        <v>13.318185646627301</v>
      </c>
      <c r="P11" s="4">
        <v>12.040009700264299</v>
      </c>
      <c r="Q11" s="4">
        <v>12.2606158612165</v>
      </c>
      <c r="R11" s="4">
        <v>14.048164730659501</v>
      </c>
      <c r="S11" s="4">
        <v>12.2076698919462</v>
      </c>
      <c r="T11" s="4">
        <v>13.3280550615693</v>
      </c>
      <c r="U11" s="4">
        <v>14.266465717160999</v>
      </c>
      <c r="V11" s="4">
        <v>13.042389588843101</v>
      </c>
      <c r="W11" s="4">
        <v>13.596384166496501</v>
      </c>
      <c r="X11" s="4">
        <v>14.3815304968406</v>
      </c>
      <c r="Y11" s="4">
        <v>7.3726925672011596</v>
      </c>
      <c r="Z11" s="4">
        <v>14.3788584543176</v>
      </c>
      <c r="AA11" s="4">
        <v>13.594560003483799</v>
      </c>
      <c r="AB11" s="4">
        <v>13.7711340328572</v>
      </c>
      <c r="AC11" s="4">
        <v>10.8419322262266</v>
      </c>
      <c r="AD11" s="4">
        <v>15.0242641934855</v>
      </c>
      <c r="AE11">
        <v>1.93283</v>
      </c>
      <c r="AF11">
        <v>4.9869000000000003</v>
      </c>
      <c r="AG11">
        <v>6.4297300000000002</v>
      </c>
      <c r="AH11" t="s">
        <v>145</v>
      </c>
      <c r="AI11">
        <v>6.2187799999999998</v>
      </c>
      <c r="AJ11">
        <v>7.3171299999999997</v>
      </c>
      <c r="AK11">
        <v>0.78774999999999995</v>
      </c>
      <c r="AL11">
        <v>12.18464</v>
      </c>
      <c r="AM11">
        <v>14.220230000000001</v>
      </c>
      <c r="AN11">
        <v>2.9243100000000002</v>
      </c>
      <c r="AO11">
        <v>1.4899100000000001</v>
      </c>
      <c r="AP11">
        <v>7.4235199999999999</v>
      </c>
      <c r="AQ11">
        <v>-0.24423</v>
      </c>
      <c r="AR11">
        <v>0.94926999999999995</v>
      </c>
      <c r="AS11">
        <v>0.41127000000000002</v>
      </c>
      <c r="AT11">
        <v>1.9239599999999999</v>
      </c>
      <c r="AU11">
        <v>1.54274</v>
      </c>
      <c r="AV11">
        <v>2.1438799999999998</v>
      </c>
      <c r="AW11">
        <v>-1.0640499999999999</v>
      </c>
      <c r="AX11">
        <v>-0.11839</v>
      </c>
      <c r="AY11">
        <v>9.5081199999999999</v>
      </c>
      <c r="AZ11">
        <v>2.5750099999999998</v>
      </c>
      <c r="BA11">
        <v>3.6813899999999999</v>
      </c>
      <c r="BB11">
        <v>12.08642</v>
      </c>
      <c r="BC11" s="4">
        <f>Y11-Q11</f>
        <v>-4.8879232940153408</v>
      </c>
      <c r="BD11">
        <f t="shared" si="0"/>
        <v>-0.21991999999999989</v>
      </c>
    </row>
    <row r="12" spans="1:56" x14ac:dyDescent="0.35">
      <c r="A12" t="s">
        <v>154</v>
      </c>
      <c r="B12" t="s">
        <v>155</v>
      </c>
      <c r="C12" t="s">
        <v>156</v>
      </c>
      <c r="D12" t="s">
        <v>88</v>
      </c>
      <c r="E12">
        <v>21</v>
      </c>
      <c r="F12" t="s">
        <v>401</v>
      </c>
      <c r="G12" s="4">
        <v>14.502298691543601</v>
      </c>
      <c r="H12" s="4">
        <v>13.102250570619301</v>
      </c>
      <c r="I12" s="4">
        <v>13.0821317815375</v>
      </c>
      <c r="J12" s="4">
        <v>9.0712746054892097</v>
      </c>
      <c r="K12" s="4">
        <v>10.8282077546623</v>
      </c>
      <c r="L12" s="4">
        <v>13.429939786045299</v>
      </c>
      <c r="M12" s="4">
        <v>11.5043126145583</v>
      </c>
      <c r="N12" s="4">
        <v>13.134537017747901</v>
      </c>
      <c r="O12" s="4">
        <v>13.386273112734299</v>
      </c>
      <c r="P12" s="4">
        <v>12.290257674167201</v>
      </c>
      <c r="Q12" s="4">
        <v>11.603665634014</v>
      </c>
      <c r="R12" s="4">
        <v>8.7274322483828009</v>
      </c>
      <c r="S12" s="4">
        <v>12.986758001896</v>
      </c>
      <c r="T12" s="4">
        <v>10.398152132002201</v>
      </c>
      <c r="U12" s="4">
        <v>13.569150338937799</v>
      </c>
      <c r="V12" s="4">
        <v>13.7930043334226</v>
      </c>
      <c r="W12" s="4">
        <v>12.844723563745699</v>
      </c>
      <c r="X12" s="4">
        <v>13.2451447065684</v>
      </c>
      <c r="Y12" s="4">
        <v>6.2193146607562904</v>
      </c>
      <c r="Z12" s="4">
        <v>11.6533179017273</v>
      </c>
      <c r="AA12" s="4">
        <v>13.8088597827198</v>
      </c>
      <c r="AB12" s="4">
        <v>12.6479560538341</v>
      </c>
      <c r="AC12" s="4">
        <v>11.169573889487999</v>
      </c>
      <c r="AD12" s="4">
        <v>14.7702811374969</v>
      </c>
      <c r="AE12">
        <v>1.7940499999999999</v>
      </c>
      <c r="AF12">
        <v>4.4556500000000003</v>
      </c>
      <c r="AG12">
        <v>5.9554299999999998</v>
      </c>
      <c r="AH12" t="s">
        <v>157</v>
      </c>
      <c r="AI12">
        <v>5.6395900000000001</v>
      </c>
      <c r="AJ12">
        <v>6.4284400000000002</v>
      </c>
      <c r="AK12">
        <v>0.57403000000000004</v>
      </c>
      <c r="AL12">
        <v>11.180529999999999</v>
      </c>
      <c r="AM12">
        <v>12.06024</v>
      </c>
      <c r="AN12">
        <v>3.44408</v>
      </c>
      <c r="AO12">
        <v>1.1209499999999999</v>
      </c>
      <c r="AP12">
        <v>7.13253</v>
      </c>
      <c r="AQ12">
        <v>0.15923000000000001</v>
      </c>
      <c r="AR12">
        <v>-1.52484</v>
      </c>
      <c r="AS12">
        <v>-1.29491</v>
      </c>
      <c r="AT12">
        <v>0.66710000000000003</v>
      </c>
      <c r="AU12">
        <v>-7.46E-2</v>
      </c>
      <c r="AV12">
        <v>1.1957599999999999</v>
      </c>
      <c r="AW12">
        <v>-0.57638999999999996</v>
      </c>
      <c r="AX12">
        <v>1.01637</v>
      </c>
      <c r="AY12">
        <v>8.8447800000000001</v>
      </c>
      <c r="AZ12">
        <v>1.90327</v>
      </c>
      <c r="BA12">
        <v>2.86829</v>
      </c>
      <c r="BB12">
        <v>11.23053</v>
      </c>
      <c r="BC12" s="4">
        <f>Y12-Q12</f>
        <v>-5.3843509732577095</v>
      </c>
      <c r="BD12">
        <f t="shared" si="0"/>
        <v>-0.52865999999999991</v>
      </c>
    </row>
    <row r="13" spans="1:56" x14ac:dyDescent="0.35">
      <c r="A13" t="s">
        <v>174</v>
      </c>
      <c r="B13" t="s">
        <v>175</v>
      </c>
      <c r="C13" t="s">
        <v>176</v>
      </c>
      <c r="D13" t="s">
        <v>88</v>
      </c>
      <c r="E13">
        <v>21</v>
      </c>
      <c r="F13" t="s">
        <v>401</v>
      </c>
      <c r="G13" s="4">
        <v>14.349390811383</v>
      </c>
      <c r="H13" s="4">
        <v>12.3609536278964</v>
      </c>
      <c r="I13" s="4">
        <v>13.512899951701399</v>
      </c>
      <c r="J13" s="4">
        <v>9.31639535965442</v>
      </c>
      <c r="K13" s="4">
        <v>11.327825435900101</v>
      </c>
      <c r="L13" s="4">
        <v>13.0274515362503</v>
      </c>
      <c r="M13" s="4">
        <v>13.4579812986828</v>
      </c>
      <c r="N13" s="4">
        <v>12.901734006960901</v>
      </c>
      <c r="O13" s="4">
        <v>12.7968587947431</v>
      </c>
      <c r="P13" s="4">
        <v>10.776362914073401</v>
      </c>
      <c r="Q13" s="4">
        <v>13.8889607731808</v>
      </c>
      <c r="R13" s="4">
        <v>13.037431683391</v>
      </c>
      <c r="S13" s="4">
        <v>13.470406640542</v>
      </c>
      <c r="T13" s="4">
        <v>10.6315384337768</v>
      </c>
      <c r="U13" s="4">
        <v>14.091116048597099</v>
      </c>
      <c r="V13" s="4">
        <v>14.419131698634301</v>
      </c>
      <c r="W13" s="4">
        <v>13.431328057523499</v>
      </c>
      <c r="X13" s="4">
        <v>11.5227844763447</v>
      </c>
      <c r="Y13" s="4">
        <v>7.4153406152276302</v>
      </c>
      <c r="Z13" s="4">
        <v>12.863848841939999</v>
      </c>
      <c r="AA13" s="4">
        <v>14.3192976481982</v>
      </c>
      <c r="AB13" s="4">
        <v>14.0004537598402</v>
      </c>
      <c r="AC13" s="4">
        <v>11.317368387483</v>
      </c>
      <c r="AD13" s="4">
        <v>14.7563556697992</v>
      </c>
      <c r="AE13">
        <v>1.80908</v>
      </c>
      <c r="AF13">
        <v>4.1757499999999999</v>
      </c>
      <c r="AG13">
        <v>6.4667000000000003</v>
      </c>
      <c r="AH13" t="s">
        <v>177</v>
      </c>
      <c r="AI13">
        <v>5.2338699999999996</v>
      </c>
      <c r="AJ13">
        <v>6.3489399999999998</v>
      </c>
      <c r="AK13">
        <v>0.97080999999999995</v>
      </c>
      <c r="AL13">
        <v>11.43098</v>
      </c>
      <c r="AM13">
        <v>11.669689999999999</v>
      </c>
      <c r="AN13">
        <v>2.6762299999999999</v>
      </c>
      <c r="AO13">
        <v>1.04573</v>
      </c>
      <c r="AP13">
        <v>5.8519399999999999</v>
      </c>
      <c r="AQ13">
        <v>3.0040000000000001E-2</v>
      </c>
      <c r="AR13">
        <v>-0.10092</v>
      </c>
      <c r="AS13">
        <v>-1.0079400000000001</v>
      </c>
      <c r="AT13">
        <v>2.0255399999999999</v>
      </c>
      <c r="AU13">
        <v>0.35260999999999998</v>
      </c>
      <c r="AV13">
        <v>2.9339200000000001</v>
      </c>
      <c r="AW13">
        <v>-1.4742999999999999</v>
      </c>
      <c r="AX13">
        <v>0.68579999999999997</v>
      </c>
      <c r="AY13">
        <v>8.6296599999999994</v>
      </c>
      <c r="AZ13">
        <v>2.8629199999999999</v>
      </c>
      <c r="BA13">
        <v>3.5113400000000001</v>
      </c>
      <c r="BB13">
        <v>11.535019999999999</v>
      </c>
      <c r="BC13" s="4">
        <f>Y13-Q13</f>
        <v>-6.47362015795317</v>
      </c>
      <c r="BD13">
        <f t="shared" si="0"/>
        <v>-0.90838000000000019</v>
      </c>
    </row>
    <row r="14" spans="1:56" x14ac:dyDescent="0.35">
      <c r="A14" t="s">
        <v>190</v>
      </c>
      <c r="B14" t="s">
        <v>191</v>
      </c>
      <c r="C14" t="s">
        <v>192</v>
      </c>
      <c r="D14" t="s">
        <v>88</v>
      </c>
      <c r="E14">
        <v>25</v>
      </c>
      <c r="F14" t="s">
        <v>401</v>
      </c>
      <c r="G14" s="4">
        <v>14.226987717746599</v>
      </c>
      <c r="H14" s="4">
        <v>13.0557836186898</v>
      </c>
      <c r="I14" s="4">
        <v>13.037765676472601</v>
      </c>
      <c r="J14" s="4">
        <v>8.9829944700948303</v>
      </c>
      <c r="K14" s="4">
        <v>11.000275773198201</v>
      </c>
      <c r="L14" s="4">
        <v>12.859665804088699</v>
      </c>
      <c r="M14" s="4">
        <v>12.6932867731771</v>
      </c>
      <c r="N14" s="4">
        <v>12.263145882919501</v>
      </c>
      <c r="O14" s="4">
        <v>9.5957504348372105</v>
      </c>
      <c r="P14" s="4">
        <v>11.264320306450101</v>
      </c>
      <c r="Q14" s="4">
        <v>11.5083068642664</v>
      </c>
      <c r="R14" s="4">
        <v>14.2777522709038</v>
      </c>
      <c r="S14" s="4">
        <v>13.101611159108501</v>
      </c>
      <c r="T14" s="4">
        <v>12.9923638180918</v>
      </c>
      <c r="U14" s="4">
        <v>13.578192710798699</v>
      </c>
      <c r="V14" s="4">
        <v>14.017469351278599</v>
      </c>
      <c r="W14" s="4">
        <v>13.4830869449336</v>
      </c>
      <c r="X14" s="4">
        <v>12.360461686236601</v>
      </c>
      <c r="Y14" s="4">
        <v>7.0547033862584501</v>
      </c>
      <c r="Z14" s="4">
        <v>14.9741875926633</v>
      </c>
      <c r="AA14" s="4">
        <v>14.215713114207301</v>
      </c>
      <c r="AB14" s="4">
        <v>13.303755931766499</v>
      </c>
      <c r="AC14" s="4">
        <v>11.139239812438399</v>
      </c>
      <c r="AD14" s="4">
        <v>14.7816673469639</v>
      </c>
      <c r="AE14">
        <v>1.98722</v>
      </c>
      <c r="AF14">
        <v>5.0826700000000002</v>
      </c>
      <c r="AG14">
        <v>6.6346499999999997</v>
      </c>
      <c r="AH14" t="s">
        <v>193</v>
      </c>
      <c r="AI14">
        <v>5.7279200000000001</v>
      </c>
      <c r="AJ14">
        <v>6.68912</v>
      </c>
      <c r="AK14">
        <v>0.97785999999999995</v>
      </c>
      <c r="AL14">
        <v>11.232710000000001</v>
      </c>
      <c r="AM14">
        <v>12.97486</v>
      </c>
      <c r="AN14">
        <v>2.45221</v>
      </c>
      <c r="AO14">
        <v>1.3319700000000001</v>
      </c>
      <c r="AP14">
        <v>6.7941099999999999</v>
      </c>
      <c r="AQ14">
        <v>0.29777999999999999</v>
      </c>
      <c r="AR14">
        <v>0.21237</v>
      </c>
      <c r="AS14">
        <v>0.20316000000000001</v>
      </c>
      <c r="AT14">
        <v>1.7807999999999999</v>
      </c>
      <c r="AU14">
        <v>2.9904000000000002</v>
      </c>
      <c r="AV14">
        <v>1.49011</v>
      </c>
      <c r="AW14">
        <v>-0.49349999999999999</v>
      </c>
      <c r="AX14">
        <v>0.26323999999999997</v>
      </c>
      <c r="AY14">
        <v>9.1194299999999995</v>
      </c>
      <c r="AZ14">
        <v>2.37595</v>
      </c>
      <c r="BA14">
        <v>3.2031100000000001</v>
      </c>
      <c r="BB14">
        <v>11.68449</v>
      </c>
      <c r="BC14" s="4">
        <f>Y14-Q14</f>
        <v>-4.4536034780079499</v>
      </c>
      <c r="BD14">
        <f t="shared" si="0"/>
        <v>0.29068999999999989</v>
      </c>
    </row>
    <row r="15" spans="1:56" x14ac:dyDescent="0.35">
      <c r="A15" t="s">
        <v>194</v>
      </c>
      <c r="B15" t="s">
        <v>195</v>
      </c>
      <c r="C15" t="s">
        <v>196</v>
      </c>
      <c r="D15" t="s">
        <v>88</v>
      </c>
      <c r="E15">
        <v>40</v>
      </c>
      <c r="F15" t="s">
        <v>401</v>
      </c>
      <c r="G15" s="4">
        <v>15.064330989185301</v>
      </c>
      <c r="H15" s="4">
        <v>14.606859992005701</v>
      </c>
      <c r="I15" s="4">
        <v>13.087036400993901</v>
      </c>
      <c r="J15" s="4">
        <v>8.8242768134687992</v>
      </c>
      <c r="K15" s="4">
        <v>11.287672308109499</v>
      </c>
      <c r="L15" s="4">
        <v>12.994321349390701</v>
      </c>
      <c r="M15" s="4">
        <v>14.199091569319201</v>
      </c>
      <c r="N15" s="4">
        <v>12.6955654568541</v>
      </c>
      <c r="O15" s="4">
        <v>10.908257827575</v>
      </c>
      <c r="P15" s="4">
        <v>12.658509861038301</v>
      </c>
      <c r="Q15" s="4">
        <v>11.0643915031985</v>
      </c>
      <c r="R15" s="4">
        <v>14.2381112599783</v>
      </c>
      <c r="S15" s="4">
        <v>13.437954105613001</v>
      </c>
      <c r="T15" s="4">
        <v>13.3634503813183</v>
      </c>
      <c r="U15" s="4">
        <v>13.012195632410499</v>
      </c>
      <c r="V15" s="4">
        <v>13.4308451604807</v>
      </c>
      <c r="W15" s="4">
        <v>14.118503725132101</v>
      </c>
      <c r="X15" s="4">
        <v>13.1870354414727</v>
      </c>
      <c r="Y15" s="4">
        <v>7.3578948339210104</v>
      </c>
      <c r="Z15" s="4">
        <v>14.7040294859158</v>
      </c>
      <c r="AA15" s="4">
        <v>12.5809564130655</v>
      </c>
      <c r="AB15" s="4">
        <v>13.0322807564404</v>
      </c>
      <c r="AC15" s="4">
        <v>10.8681751877556</v>
      </c>
      <c r="AD15" s="4">
        <v>14.7950463378489</v>
      </c>
      <c r="AE15">
        <v>1.81945</v>
      </c>
      <c r="AF15">
        <v>4.6059000000000001</v>
      </c>
      <c r="AG15">
        <v>6.6711999999999998</v>
      </c>
      <c r="AH15" t="s">
        <v>197</v>
      </c>
      <c r="AI15">
        <v>5.77027</v>
      </c>
      <c r="AJ15">
        <v>7.4457199999999997</v>
      </c>
      <c r="AK15">
        <v>0.12909000000000001</v>
      </c>
      <c r="AL15">
        <v>11.29541</v>
      </c>
      <c r="AM15">
        <v>14.169420000000001</v>
      </c>
      <c r="AN15">
        <v>2.8247800000000001</v>
      </c>
      <c r="AO15">
        <v>2.1112099999999998</v>
      </c>
      <c r="AP15">
        <v>7.7034099999999999</v>
      </c>
      <c r="AQ15">
        <v>0.44884000000000002</v>
      </c>
      <c r="AR15">
        <v>-0.875</v>
      </c>
      <c r="AS15">
        <v>-0.10106999999999999</v>
      </c>
      <c r="AT15">
        <v>1.93482</v>
      </c>
      <c r="AU15">
        <v>1.5484800000000001</v>
      </c>
      <c r="AV15">
        <v>1.2021900000000001</v>
      </c>
      <c r="AW15">
        <v>3.5821399999999999</v>
      </c>
      <c r="AX15">
        <v>8.899E-2</v>
      </c>
      <c r="AY15">
        <v>8.3083600000000004</v>
      </c>
      <c r="AZ15">
        <v>2.2795899999999998</v>
      </c>
      <c r="BA15">
        <v>2.9800200000000001</v>
      </c>
      <c r="BB15">
        <v>11.89265</v>
      </c>
      <c r="BC15" s="4">
        <f>Y15-Q15</f>
        <v>-3.7064966692774899</v>
      </c>
      <c r="BD15">
        <f t="shared" si="0"/>
        <v>0.73262999999999989</v>
      </c>
    </row>
    <row r="16" spans="1:56" x14ac:dyDescent="0.35">
      <c r="A16" t="s">
        <v>206</v>
      </c>
      <c r="B16" t="s">
        <v>207</v>
      </c>
      <c r="C16" t="s">
        <v>208</v>
      </c>
      <c r="D16" t="s">
        <v>88</v>
      </c>
      <c r="E16">
        <v>29</v>
      </c>
      <c r="F16" t="s">
        <v>401</v>
      </c>
      <c r="G16" s="4">
        <v>14.3866017915346</v>
      </c>
      <c r="H16" s="4">
        <v>14.126381575651999</v>
      </c>
      <c r="I16" s="4">
        <v>13.05843389576</v>
      </c>
      <c r="J16" s="4">
        <v>8.9440861568392993</v>
      </c>
      <c r="K16" s="4">
        <v>11.990687464444701</v>
      </c>
      <c r="L16" s="4">
        <v>12.869029584060099</v>
      </c>
      <c r="M16" s="4">
        <v>13.094492822122801</v>
      </c>
      <c r="N16" s="4">
        <v>12.8404371212487</v>
      </c>
      <c r="O16" s="4">
        <v>11.327807947604899</v>
      </c>
      <c r="P16" s="4">
        <v>10.3707382963025</v>
      </c>
      <c r="Q16" s="4">
        <v>11.690011095012199</v>
      </c>
      <c r="R16" s="4">
        <v>12.3032771426675</v>
      </c>
      <c r="S16" s="4">
        <v>12.539516848031701</v>
      </c>
      <c r="T16" s="4">
        <v>12.474845245546501</v>
      </c>
      <c r="U16" s="4">
        <v>14.6344557448411</v>
      </c>
      <c r="V16" s="4">
        <v>15.2133586559249</v>
      </c>
      <c r="W16" s="4">
        <v>13.6771869877818</v>
      </c>
      <c r="X16" s="4">
        <v>13.5378371097099</v>
      </c>
      <c r="Y16" s="4">
        <v>6.8527147731383904</v>
      </c>
      <c r="Z16" s="4">
        <v>14.062345063457601</v>
      </c>
      <c r="AA16" s="4">
        <v>12.9829561304928</v>
      </c>
      <c r="AB16" s="4">
        <v>13.4636791991437</v>
      </c>
      <c r="AC16" s="4">
        <v>11.0245744449551</v>
      </c>
      <c r="AD16" s="4">
        <v>14.579613167965601</v>
      </c>
      <c r="AE16">
        <v>2.1108799999999999</v>
      </c>
      <c r="AF16">
        <v>5.2992299999999997</v>
      </c>
      <c r="AG16">
        <v>7.2724900000000003</v>
      </c>
      <c r="AH16" t="s">
        <v>209</v>
      </c>
      <c r="AI16">
        <v>5.73611</v>
      </c>
      <c r="AJ16">
        <v>7.20573</v>
      </c>
      <c r="AK16">
        <v>1.30003</v>
      </c>
      <c r="AL16">
        <v>11.50304</v>
      </c>
      <c r="AM16">
        <v>14.01632</v>
      </c>
      <c r="AN16">
        <v>2.9498600000000001</v>
      </c>
      <c r="AO16">
        <v>1.25407</v>
      </c>
      <c r="AP16">
        <v>5.9440200000000001</v>
      </c>
      <c r="AQ16">
        <v>0.61729999999999996</v>
      </c>
      <c r="AR16">
        <v>-0.66842999999999997</v>
      </c>
      <c r="AS16">
        <v>0.44242999999999999</v>
      </c>
      <c r="AT16">
        <v>1.6528400000000001</v>
      </c>
      <c r="AU16">
        <v>1.4602900000000001</v>
      </c>
      <c r="AV16">
        <v>2.2302499999999998</v>
      </c>
      <c r="AW16">
        <v>-0.19638</v>
      </c>
      <c r="AX16">
        <v>-0.20355000000000001</v>
      </c>
      <c r="AY16">
        <v>9.3643400000000003</v>
      </c>
      <c r="AZ16">
        <v>2.93309</v>
      </c>
      <c r="BA16">
        <v>3.2652299999999999</v>
      </c>
      <c r="BB16">
        <v>12.04317</v>
      </c>
      <c r="BC16" s="4">
        <f>Y16-Q16</f>
        <v>-4.8372963218738088</v>
      </c>
      <c r="BD16">
        <f t="shared" si="0"/>
        <v>-0.57740999999999976</v>
      </c>
    </row>
    <row r="17" spans="1:56" x14ac:dyDescent="0.35">
      <c r="A17" t="s">
        <v>214</v>
      </c>
      <c r="B17" t="s">
        <v>215</v>
      </c>
      <c r="C17" t="s">
        <v>216</v>
      </c>
      <c r="D17" t="s">
        <v>88</v>
      </c>
      <c r="E17">
        <v>19</v>
      </c>
      <c r="F17" t="s">
        <v>401</v>
      </c>
      <c r="G17" s="4">
        <v>14.3961018328125</v>
      </c>
      <c r="H17" s="4">
        <v>12.720398256381699</v>
      </c>
      <c r="I17" s="4">
        <v>13.467576894092</v>
      </c>
      <c r="J17" s="4">
        <v>9.9842872206160092</v>
      </c>
      <c r="K17" s="4">
        <v>9.95154827822088</v>
      </c>
      <c r="L17" s="4">
        <v>13.248390477965501</v>
      </c>
      <c r="M17" s="4">
        <v>12.553967679417299</v>
      </c>
      <c r="N17" s="4">
        <v>15.525086426608301</v>
      </c>
      <c r="O17" s="4">
        <v>12.2089921639212</v>
      </c>
      <c r="P17" s="4">
        <v>16.7169628673971</v>
      </c>
      <c r="Q17" s="4">
        <v>13.957736228044901</v>
      </c>
      <c r="R17" s="4">
        <v>15.293584297513499</v>
      </c>
      <c r="S17" s="4">
        <v>12.4573032264051</v>
      </c>
      <c r="T17" s="4">
        <v>9.9680316112279996</v>
      </c>
      <c r="U17" s="4">
        <v>14.7617372826797</v>
      </c>
      <c r="V17" s="4">
        <v>13.7665878634821</v>
      </c>
      <c r="W17" s="4">
        <v>13.346111409846699</v>
      </c>
      <c r="X17" s="4">
        <v>14.901858244288601</v>
      </c>
      <c r="Y17" s="4">
        <v>10.707070862358901</v>
      </c>
      <c r="Z17" s="4">
        <v>12.764294213079401</v>
      </c>
      <c r="AA17" s="4">
        <v>13.1006141231043</v>
      </c>
      <c r="AB17" s="4">
        <v>13.039132718412301</v>
      </c>
      <c r="AC17" s="4">
        <v>11.5999900872152</v>
      </c>
      <c r="AD17" s="4">
        <v>14.78896039128</v>
      </c>
      <c r="AE17">
        <v>1.9032199999999999</v>
      </c>
      <c r="AF17">
        <v>5.7306900000000001</v>
      </c>
      <c r="AG17">
        <v>6.5342099999999999</v>
      </c>
      <c r="AH17" t="s">
        <v>217</v>
      </c>
      <c r="AI17">
        <v>8.3411500000000007</v>
      </c>
      <c r="AJ17">
        <v>6.4542000000000002</v>
      </c>
      <c r="AK17">
        <v>0.73543999999999998</v>
      </c>
      <c r="AL17">
        <v>11.84779</v>
      </c>
      <c r="AM17">
        <v>11.9398</v>
      </c>
      <c r="AN17">
        <v>3.3307099999999998</v>
      </c>
      <c r="AO17">
        <v>1.47658</v>
      </c>
      <c r="AP17">
        <v>11.95566</v>
      </c>
      <c r="AQ17">
        <v>0.52651999999999999</v>
      </c>
      <c r="AR17">
        <v>1.3703000000000001</v>
      </c>
      <c r="AS17">
        <v>-0.68762000000000001</v>
      </c>
      <c r="AT17">
        <v>5.2134</v>
      </c>
      <c r="AU17">
        <v>0.67074999999999996</v>
      </c>
      <c r="AV17">
        <v>3.2461799999999998</v>
      </c>
      <c r="AW17">
        <v>-0.70011999999999996</v>
      </c>
      <c r="AX17">
        <v>-0.12837000000000001</v>
      </c>
      <c r="AY17">
        <v>8.3622300000000003</v>
      </c>
      <c r="AZ17">
        <v>2.4385599999999998</v>
      </c>
      <c r="BA17">
        <v>3.5007299999999999</v>
      </c>
      <c r="BB17">
        <v>11.800829999999999</v>
      </c>
      <c r="BC17" s="4">
        <f>Y17-Q17</f>
        <v>-3.2506653656860003</v>
      </c>
      <c r="BD17">
        <f t="shared" si="0"/>
        <v>1.9672200000000002</v>
      </c>
    </row>
    <row r="18" spans="1:56" x14ac:dyDescent="0.35">
      <c r="A18" t="s">
        <v>234</v>
      </c>
      <c r="B18" t="s">
        <v>235</v>
      </c>
      <c r="C18" t="s">
        <v>236</v>
      </c>
      <c r="D18" t="s">
        <v>88</v>
      </c>
      <c r="E18">
        <v>20</v>
      </c>
      <c r="F18" t="s">
        <v>401</v>
      </c>
      <c r="G18" s="4">
        <v>14.6324266057917</v>
      </c>
      <c r="H18" s="4">
        <v>13.30331802201</v>
      </c>
      <c r="I18" s="4">
        <v>12.7337743708781</v>
      </c>
      <c r="J18" s="4">
        <v>8.8572125024072204</v>
      </c>
      <c r="K18" s="4">
        <v>9.3800176363907397</v>
      </c>
      <c r="L18" s="4">
        <v>13.3848322009533</v>
      </c>
      <c r="M18" s="4">
        <v>11.845033776492</v>
      </c>
      <c r="N18" s="4">
        <v>12.5160082069512</v>
      </c>
      <c r="O18" s="4">
        <v>10.440491443786501</v>
      </c>
      <c r="P18" s="4">
        <v>11.2813442088289</v>
      </c>
      <c r="Q18" s="4">
        <v>11.327941977859</v>
      </c>
      <c r="R18" s="4">
        <v>13.2139539832685</v>
      </c>
      <c r="S18" s="4">
        <v>13.7601258241558</v>
      </c>
      <c r="T18" s="4">
        <v>10.4159005152995</v>
      </c>
      <c r="U18" s="4">
        <v>13.5543026073825</v>
      </c>
      <c r="V18" s="4">
        <v>13.8028376307727</v>
      </c>
      <c r="W18" s="4">
        <v>13.6658561291946</v>
      </c>
      <c r="X18" s="4">
        <v>12.8295676504254</v>
      </c>
      <c r="Y18" s="4">
        <v>5.9402745630649498</v>
      </c>
      <c r="Z18" s="4">
        <v>12.4412852848391</v>
      </c>
      <c r="AA18" s="4">
        <v>13.7219923409237</v>
      </c>
      <c r="AB18" s="4">
        <v>14.727108170168201</v>
      </c>
      <c r="AC18" s="4">
        <v>10.745369077733899</v>
      </c>
      <c r="AD18" s="4">
        <v>14.927361194003501</v>
      </c>
      <c r="AE18">
        <v>1.81993</v>
      </c>
      <c r="AF18">
        <v>4.9694599999999998</v>
      </c>
      <c r="AG18">
        <v>5.6440000000000001</v>
      </c>
      <c r="AH18" t="s">
        <v>237</v>
      </c>
      <c r="AI18">
        <v>5.4977</v>
      </c>
      <c r="AJ18">
        <v>6.95146</v>
      </c>
      <c r="AK18">
        <v>0.80361000000000005</v>
      </c>
      <c r="AL18">
        <v>11.240320000000001</v>
      </c>
      <c r="AM18">
        <v>13.073320000000001</v>
      </c>
      <c r="AN18">
        <v>4.2013100000000003</v>
      </c>
      <c r="AO18">
        <v>1.65147</v>
      </c>
      <c r="AP18">
        <v>6.7119299999999997</v>
      </c>
      <c r="AQ18">
        <v>-0.70525000000000004</v>
      </c>
      <c r="AR18">
        <v>-0.31674000000000002</v>
      </c>
      <c r="AS18">
        <v>-0.77414000000000005</v>
      </c>
      <c r="AT18">
        <v>1.1480699999999999</v>
      </c>
      <c r="AU18">
        <v>0.41819000000000001</v>
      </c>
      <c r="AV18">
        <v>1.62036</v>
      </c>
      <c r="AW18">
        <v>-0.67310000000000003</v>
      </c>
      <c r="AX18">
        <v>-0.52103999999999995</v>
      </c>
      <c r="AY18">
        <v>8.8518600000000003</v>
      </c>
      <c r="AZ18">
        <v>4.1988399999999997</v>
      </c>
      <c r="BA18">
        <v>3.30993</v>
      </c>
      <c r="BB18">
        <v>12.05012</v>
      </c>
      <c r="BC18" s="4">
        <f>Y18-Q18</f>
        <v>-5.3876674147940502</v>
      </c>
      <c r="BD18">
        <f t="shared" si="0"/>
        <v>-0.4722900000000001</v>
      </c>
    </row>
    <row r="19" spans="1:56" x14ac:dyDescent="0.35">
      <c r="A19" t="s">
        <v>238</v>
      </c>
      <c r="B19" t="s">
        <v>239</v>
      </c>
      <c r="C19" t="s">
        <v>240</v>
      </c>
      <c r="D19" t="s">
        <v>88</v>
      </c>
      <c r="E19">
        <v>62</v>
      </c>
      <c r="F19" t="s">
        <v>402</v>
      </c>
      <c r="G19" s="4">
        <v>15.526145461881701</v>
      </c>
      <c r="H19" s="4">
        <v>14.96288787984</v>
      </c>
      <c r="I19" s="4">
        <v>14.023223919265799</v>
      </c>
      <c r="J19" s="4">
        <v>8.4733327730240902</v>
      </c>
      <c r="K19" s="4">
        <v>10.6237033402509</v>
      </c>
      <c r="L19" s="4">
        <v>12.836267741966299</v>
      </c>
      <c r="M19" s="4">
        <v>12.6754104058487</v>
      </c>
      <c r="N19" s="4">
        <v>13.2375261431373</v>
      </c>
      <c r="O19" s="4">
        <v>9.3672638661427605</v>
      </c>
      <c r="P19" s="4">
        <v>11.034616487664801</v>
      </c>
      <c r="Q19" s="4">
        <v>12.2098017000295</v>
      </c>
      <c r="R19" s="4">
        <v>13.780351773007901</v>
      </c>
      <c r="S19" s="4">
        <v>11.9153081431609</v>
      </c>
      <c r="T19" s="4">
        <v>11.665064311392801</v>
      </c>
      <c r="U19" s="4">
        <v>13.723123384815</v>
      </c>
      <c r="V19" s="4">
        <v>13.5945019082203</v>
      </c>
      <c r="W19" s="4">
        <v>14.5887516412108</v>
      </c>
      <c r="X19" s="4">
        <v>14.749235145010999</v>
      </c>
      <c r="Y19" s="4">
        <v>7.1726128804487397</v>
      </c>
      <c r="Z19" s="4">
        <v>13.333094774659401</v>
      </c>
      <c r="AA19" s="4">
        <v>13.9151044100891</v>
      </c>
      <c r="AB19" s="4">
        <v>13.107341610296</v>
      </c>
      <c r="AC19" s="4">
        <v>10.2262699548073</v>
      </c>
      <c r="AD19" s="4">
        <v>14.5554615225132</v>
      </c>
      <c r="AE19">
        <v>1.94397</v>
      </c>
      <c r="AF19">
        <v>4.6347899999999997</v>
      </c>
      <c r="AG19">
        <v>6.1779500000000001</v>
      </c>
      <c r="AH19" t="s">
        <v>241</v>
      </c>
      <c r="AI19">
        <v>5.9863299999999997</v>
      </c>
      <c r="AJ19">
        <v>7.7306600000000003</v>
      </c>
      <c r="AK19">
        <v>0.60755000000000003</v>
      </c>
      <c r="AL19">
        <v>12.19075</v>
      </c>
      <c r="AM19">
        <v>14.6013</v>
      </c>
      <c r="AN19">
        <v>3.1034099999999998</v>
      </c>
      <c r="AO19">
        <v>1.9334</v>
      </c>
      <c r="AP19">
        <v>6.4870900000000002</v>
      </c>
      <c r="AQ19">
        <v>0.19999</v>
      </c>
      <c r="AR19">
        <v>0.39911000000000002</v>
      </c>
      <c r="AS19">
        <v>2.4959199999999999</v>
      </c>
      <c r="AT19">
        <v>2.0436000000000001</v>
      </c>
      <c r="AU19">
        <v>0.68267</v>
      </c>
      <c r="AV19">
        <v>1.9856400000000001</v>
      </c>
      <c r="AW19">
        <v>-0.63283</v>
      </c>
      <c r="AX19">
        <v>-0.68735999999999997</v>
      </c>
      <c r="AY19">
        <v>9.3116599999999998</v>
      </c>
      <c r="AZ19">
        <v>2.2726899999999999</v>
      </c>
      <c r="BA19">
        <v>3.3708200000000001</v>
      </c>
      <c r="BB19">
        <v>11.829879999999999</v>
      </c>
      <c r="BC19" s="4">
        <f>Y19-Q19</f>
        <v>-5.0371888195807601</v>
      </c>
      <c r="BD19">
        <f t="shared" si="0"/>
        <v>5.7960000000000012E-2</v>
      </c>
    </row>
    <row r="20" spans="1:56" x14ac:dyDescent="0.35">
      <c r="A20" t="s">
        <v>246</v>
      </c>
      <c r="B20" t="s">
        <v>247</v>
      </c>
      <c r="C20" t="s">
        <v>248</v>
      </c>
      <c r="D20" t="s">
        <v>88</v>
      </c>
      <c r="E20">
        <v>57</v>
      </c>
      <c r="F20" t="s">
        <v>402</v>
      </c>
      <c r="G20" s="4">
        <v>14.9640634946179</v>
      </c>
      <c r="H20" s="4">
        <v>14.1890484177885</v>
      </c>
      <c r="I20" s="4">
        <v>14.0918523462291</v>
      </c>
      <c r="J20" s="4">
        <v>10.124675714416499</v>
      </c>
      <c r="K20" s="4">
        <v>11.090678271501501</v>
      </c>
      <c r="L20" s="4">
        <v>12.6029370152637</v>
      </c>
      <c r="M20" s="4">
        <v>13.7792312797796</v>
      </c>
      <c r="N20" s="4">
        <v>13.1259040467163</v>
      </c>
      <c r="O20" s="4">
        <v>9.0640171226895703</v>
      </c>
      <c r="P20" s="4">
        <v>12.351957405845599</v>
      </c>
      <c r="Q20" s="4">
        <v>12.693597663003301</v>
      </c>
      <c r="R20" s="4">
        <v>12.5395162035692</v>
      </c>
      <c r="S20" s="4">
        <v>15.9944885437386</v>
      </c>
      <c r="T20" s="4">
        <v>13.434149879875999</v>
      </c>
      <c r="U20" s="4">
        <v>13.6452908520625</v>
      </c>
      <c r="V20" s="4">
        <v>13.5649186212713</v>
      </c>
      <c r="W20" s="4">
        <v>12.554998246491801</v>
      </c>
      <c r="X20" s="4">
        <v>13.8786941705764</v>
      </c>
      <c r="Y20" s="4">
        <v>9.0077042473558002</v>
      </c>
      <c r="Z20" s="4">
        <v>14.5406263350672</v>
      </c>
      <c r="AA20" s="4">
        <v>13.837678804213899</v>
      </c>
      <c r="AB20" s="4">
        <v>13.548960019794499</v>
      </c>
      <c r="AC20" s="4">
        <v>11.233243319916401</v>
      </c>
      <c r="AD20" s="4">
        <v>14.6923944956526</v>
      </c>
      <c r="AE20">
        <v>1.8237099999999999</v>
      </c>
      <c r="AF20">
        <v>6.1781699999999997</v>
      </c>
      <c r="AG20">
        <v>7.0112100000000002</v>
      </c>
      <c r="AH20" t="s">
        <v>249</v>
      </c>
      <c r="AI20">
        <v>6.2949299999999999</v>
      </c>
      <c r="AJ20">
        <v>7.6093299999999999</v>
      </c>
      <c r="AK20">
        <v>1.0744400000000001</v>
      </c>
      <c r="AL20">
        <v>12.38733</v>
      </c>
      <c r="AM20">
        <v>13.97181</v>
      </c>
      <c r="AN20">
        <v>2.4108700000000001</v>
      </c>
      <c r="AO20">
        <v>0.92935000000000001</v>
      </c>
      <c r="AP20">
        <v>7.6670499999999997</v>
      </c>
      <c r="AQ20">
        <v>-4.6080000000000003E-2</v>
      </c>
      <c r="AR20">
        <v>-0.74224000000000001</v>
      </c>
      <c r="AS20">
        <v>-1.2722</v>
      </c>
      <c r="AT20">
        <v>3.5786699999999998</v>
      </c>
      <c r="AU20">
        <v>1.71492</v>
      </c>
      <c r="AV20">
        <v>2.5887799999999999</v>
      </c>
      <c r="AW20">
        <v>-1.8293900000000001</v>
      </c>
      <c r="AX20">
        <v>-0.49947000000000003</v>
      </c>
      <c r="AY20">
        <v>9.3008600000000001</v>
      </c>
      <c r="AZ20">
        <v>2.2829600000000001</v>
      </c>
      <c r="BA20">
        <v>3.6580400000000002</v>
      </c>
      <c r="BB20">
        <v>12.41572</v>
      </c>
      <c r="BC20" s="4">
        <f>Y20-Q20</f>
        <v>-3.6858934156475005</v>
      </c>
      <c r="BD20">
        <f t="shared" si="0"/>
        <v>0.98988999999999994</v>
      </c>
    </row>
    <row r="21" spans="1:56" x14ac:dyDescent="0.35">
      <c r="A21" t="s">
        <v>282</v>
      </c>
      <c r="B21" t="s">
        <v>283</v>
      </c>
      <c r="C21" t="s">
        <v>284</v>
      </c>
      <c r="D21" t="s">
        <v>88</v>
      </c>
      <c r="E21">
        <v>69</v>
      </c>
      <c r="F21" t="s">
        <v>401</v>
      </c>
      <c r="G21" s="4">
        <v>15.6684849074308</v>
      </c>
      <c r="H21" s="4">
        <v>14.549596476446499</v>
      </c>
      <c r="I21" s="4">
        <v>14.5420840426141</v>
      </c>
      <c r="J21" s="4">
        <v>10.208159382091299</v>
      </c>
      <c r="K21" s="4">
        <v>11.813749759957799</v>
      </c>
      <c r="L21" s="4">
        <v>12.978210551644001</v>
      </c>
      <c r="M21" s="4">
        <v>13.1747807199127</v>
      </c>
      <c r="N21" s="4">
        <v>13.540432194622699</v>
      </c>
      <c r="O21" s="4">
        <v>11.274086745196399</v>
      </c>
      <c r="P21" s="4">
        <v>11.4774168631776</v>
      </c>
      <c r="Q21" s="4">
        <v>12.690906219229401</v>
      </c>
      <c r="R21" s="4">
        <v>14.358018640675599</v>
      </c>
      <c r="S21" s="4">
        <v>13.3700842397137</v>
      </c>
      <c r="T21" s="4">
        <v>13.718912528531099</v>
      </c>
      <c r="U21" s="4">
        <v>14.322638280460099</v>
      </c>
      <c r="V21" s="4">
        <v>13.600366263827199</v>
      </c>
      <c r="W21" s="4">
        <v>14.3469031398913</v>
      </c>
      <c r="X21" s="4">
        <v>13.7026781621207</v>
      </c>
      <c r="Y21" s="4">
        <v>8.1730843442696504</v>
      </c>
      <c r="Z21" s="4">
        <v>14.263412125434201</v>
      </c>
      <c r="AA21" s="4">
        <v>13.7462496222892</v>
      </c>
      <c r="AB21" s="4">
        <v>13.6555795302287</v>
      </c>
      <c r="AC21" s="4">
        <v>11.5259288177384</v>
      </c>
      <c r="AD21" s="4">
        <v>15.0063100773045</v>
      </c>
      <c r="AE21">
        <v>2.10399</v>
      </c>
      <c r="AF21">
        <v>6.5558500000000004</v>
      </c>
      <c r="AG21">
        <v>7.6847899999999996</v>
      </c>
      <c r="AH21" t="s">
        <v>285</v>
      </c>
      <c r="AI21">
        <v>7.0848300000000002</v>
      </c>
      <c r="AJ21">
        <v>8.3418500000000009</v>
      </c>
      <c r="AK21">
        <v>0.75092000000000003</v>
      </c>
      <c r="AL21">
        <v>12.870189999999999</v>
      </c>
      <c r="AM21">
        <v>14.541550000000001</v>
      </c>
      <c r="AN21">
        <v>3.1060099999999999</v>
      </c>
      <c r="AO21">
        <v>2.1270799999999999</v>
      </c>
      <c r="AP21">
        <v>7.2230600000000003</v>
      </c>
      <c r="AQ21">
        <v>-8.5529999999999995E-2</v>
      </c>
      <c r="AR21">
        <v>0.11873</v>
      </c>
      <c r="AS21">
        <v>-0.80813999999999997</v>
      </c>
      <c r="AT21">
        <v>2.8555700000000002</v>
      </c>
      <c r="AU21">
        <v>3.5105499999999998</v>
      </c>
      <c r="AV21">
        <v>3.1909399999999999</v>
      </c>
      <c r="AW21">
        <v>-0.10904</v>
      </c>
      <c r="AX21">
        <v>0.96557000000000004</v>
      </c>
      <c r="AY21">
        <v>9.4968199999999996</v>
      </c>
      <c r="AZ21">
        <v>3.7334299999999998</v>
      </c>
      <c r="BA21">
        <v>3.8543599999999998</v>
      </c>
      <c r="BB21">
        <v>12.68296</v>
      </c>
      <c r="BC21" s="4">
        <f>Y21-Q21</f>
        <v>-4.5178218749597505</v>
      </c>
      <c r="BD21">
        <f t="shared" si="0"/>
        <v>-0.33536999999999972</v>
      </c>
    </row>
    <row r="22" spans="1:56" x14ac:dyDescent="0.35">
      <c r="A22" t="s">
        <v>318</v>
      </c>
      <c r="B22" t="s">
        <v>319</v>
      </c>
      <c r="C22" t="s">
        <v>320</v>
      </c>
      <c r="D22" t="s">
        <v>88</v>
      </c>
      <c r="E22">
        <v>19</v>
      </c>
      <c r="F22" t="s">
        <v>401</v>
      </c>
      <c r="G22" s="4">
        <v>14.2850800412238</v>
      </c>
      <c r="H22" s="4">
        <v>13.5768707803342</v>
      </c>
      <c r="I22" s="4">
        <v>13.400862497849999</v>
      </c>
      <c r="J22" s="4">
        <v>8.7703108256336293</v>
      </c>
      <c r="K22" s="4">
        <v>10.1843218682524</v>
      </c>
      <c r="L22" s="4">
        <v>13.3334699924012</v>
      </c>
      <c r="M22" s="4">
        <v>12.3955443149449</v>
      </c>
      <c r="N22" s="4">
        <v>13.253669399382099</v>
      </c>
      <c r="O22" s="4">
        <v>9.2265832477526004</v>
      </c>
      <c r="P22" s="4">
        <v>11.730869678446499</v>
      </c>
      <c r="Q22" s="4">
        <v>12.482285604417999</v>
      </c>
      <c r="R22" s="4">
        <v>14.0038589848924</v>
      </c>
      <c r="S22" s="4">
        <v>11.958028410490799</v>
      </c>
      <c r="T22" s="4">
        <v>10.4703679800042</v>
      </c>
      <c r="U22" s="4">
        <v>13.646618864465699</v>
      </c>
      <c r="V22" s="4">
        <v>13.783577665091199</v>
      </c>
      <c r="W22" s="4">
        <v>12.7766959932222</v>
      </c>
      <c r="X22" s="4">
        <v>12.8927596281166</v>
      </c>
      <c r="Y22" s="4">
        <v>6.8937556048315098</v>
      </c>
      <c r="Z22" s="4">
        <v>12.149842188811</v>
      </c>
      <c r="AA22" s="4">
        <v>13.8957248599612</v>
      </c>
      <c r="AB22" s="4">
        <v>13.248501302671</v>
      </c>
      <c r="AC22" s="4">
        <v>10.8215633081417</v>
      </c>
      <c r="AD22" s="4">
        <v>14.673949507304201</v>
      </c>
      <c r="AE22">
        <v>1.5374399999999999</v>
      </c>
      <c r="AF22">
        <v>4.4286199999999996</v>
      </c>
      <c r="AG22">
        <v>5.70214</v>
      </c>
      <c r="AH22" t="s">
        <v>321</v>
      </c>
      <c r="AI22">
        <v>5.8042299999999996</v>
      </c>
      <c r="AJ22">
        <v>6.6397199999999996</v>
      </c>
      <c r="AK22">
        <v>0.47212999999999999</v>
      </c>
      <c r="AL22">
        <v>11.19941</v>
      </c>
      <c r="AM22">
        <v>12.997490000000001</v>
      </c>
      <c r="AN22">
        <v>3.1168300000000002</v>
      </c>
      <c r="AO22">
        <v>0.92837000000000003</v>
      </c>
      <c r="AP22">
        <v>6.8998200000000001</v>
      </c>
      <c r="AQ22">
        <v>-0.47363</v>
      </c>
      <c r="AR22">
        <v>-0.45158999999999999</v>
      </c>
      <c r="AS22">
        <v>0.30579000000000001</v>
      </c>
      <c r="AT22">
        <v>1.6492899999999999</v>
      </c>
      <c r="AU22">
        <v>8.7600000000000004E-3</v>
      </c>
      <c r="AV22">
        <v>1.51075</v>
      </c>
      <c r="AW22">
        <v>-1.1004700000000001</v>
      </c>
      <c r="AX22">
        <v>-1.687E-2</v>
      </c>
      <c r="AY22">
        <v>8.9903999999999993</v>
      </c>
      <c r="AZ22">
        <v>2.1693799999999999</v>
      </c>
      <c r="BA22">
        <v>2.91214</v>
      </c>
      <c r="BB22">
        <v>11.3659</v>
      </c>
      <c r="BC22" s="4">
        <f>Y22-Q22</f>
        <v>-5.5885299995864894</v>
      </c>
      <c r="BD22">
        <f t="shared" si="0"/>
        <v>0.13853999999999989</v>
      </c>
    </row>
    <row r="23" spans="1:56" x14ac:dyDescent="0.35">
      <c r="A23" t="s">
        <v>322</v>
      </c>
      <c r="B23" t="s">
        <v>323</v>
      </c>
      <c r="C23" t="s">
        <v>324</v>
      </c>
      <c r="D23" t="s">
        <v>88</v>
      </c>
      <c r="E23">
        <v>54</v>
      </c>
      <c r="F23" t="s">
        <v>401</v>
      </c>
      <c r="G23" s="4">
        <v>14.884599183670099</v>
      </c>
      <c r="H23" s="4">
        <v>13.8395592231671</v>
      </c>
      <c r="I23" s="4">
        <v>13.342319177198201</v>
      </c>
      <c r="J23" s="4">
        <v>9.0046772840578395</v>
      </c>
      <c r="K23" s="4">
        <v>10.9593671705526</v>
      </c>
      <c r="L23" s="4">
        <v>13.2370023130148</v>
      </c>
      <c r="M23" s="4">
        <v>12.8312614845879</v>
      </c>
      <c r="N23" s="4">
        <v>12.0999237271603</v>
      </c>
      <c r="O23" s="4">
        <v>9.0600525578090405</v>
      </c>
      <c r="P23" s="4">
        <v>10.7846662336606</v>
      </c>
      <c r="Q23" s="4">
        <v>11.9084024368161</v>
      </c>
      <c r="R23" s="4">
        <v>13.496647669448601</v>
      </c>
      <c r="S23" s="4">
        <v>12.8382806605934</v>
      </c>
      <c r="T23" s="4">
        <v>11.476741037391999</v>
      </c>
      <c r="U23" s="4">
        <v>13.963384771946</v>
      </c>
      <c r="V23" s="4">
        <v>13.8735624976505</v>
      </c>
      <c r="W23" s="4">
        <v>13.680231169112099</v>
      </c>
      <c r="X23" s="4">
        <v>12.6381622900736</v>
      </c>
      <c r="Y23" s="4">
        <v>8.3586332878798704</v>
      </c>
      <c r="Z23" s="4">
        <v>14.0130309842492</v>
      </c>
      <c r="AA23" s="4">
        <v>14.0200965841747</v>
      </c>
      <c r="AB23" s="4">
        <v>16.6349588399552</v>
      </c>
      <c r="AC23" s="4">
        <v>11.0649255082702</v>
      </c>
      <c r="AD23" s="4">
        <v>14.994892329514901</v>
      </c>
      <c r="AE23">
        <v>1.75004</v>
      </c>
      <c r="AF23">
        <v>4.9907000000000004</v>
      </c>
      <c r="AG23">
        <v>6.3319700000000001</v>
      </c>
      <c r="AH23" t="s">
        <v>325</v>
      </c>
      <c r="AI23">
        <v>5.48367</v>
      </c>
      <c r="AJ23">
        <v>6.9819500000000003</v>
      </c>
      <c r="AK23">
        <v>0.69857000000000002</v>
      </c>
      <c r="AL23">
        <v>11.541309999999999</v>
      </c>
      <c r="AM23">
        <v>13.300789999999999</v>
      </c>
      <c r="AN23">
        <v>3.4314399999999998</v>
      </c>
      <c r="AO23">
        <v>2.0400800000000001</v>
      </c>
      <c r="AP23">
        <v>5.8398899999999996</v>
      </c>
      <c r="AQ23">
        <v>-0.68823000000000001</v>
      </c>
      <c r="AR23">
        <v>0.37519000000000002</v>
      </c>
      <c r="AS23">
        <v>-0.75590999999999997</v>
      </c>
      <c r="AT23">
        <v>2.5718999999999999</v>
      </c>
      <c r="AU23">
        <v>0.99695999999999996</v>
      </c>
      <c r="AV23">
        <v>1.77878</v>
      </c>
      <c r="AW23">
        <v>-1.2958099999999999</v>
      </c>
      <c r="AX23">
        <v>-1.1089999999999999E-2</v>
      </c>
      <c r="AY23">
        <v>8.7594899999999996</v>
      </c>
      <c r="AZ23">
        <v>3.6903199999999998</v>
      </c>
      <c r="BA23">
        <v>3.63836</v>
      </c>
      <c r="BB23">
        <v>11.763030000000001</v>
      </c>
      <c r="BC23" s="4">
        <f>Y23-Q23</f>
        <v>-3.54976914893623</v>
      </c>
      <c r="BD23">
        <f t="shared" si="0"/>
        <v>0.79311999999999983</v>
      </c>
    </row>
    <row r="24" spans="1:56" x14ac:dyDescent="0.35">
      <c r="A24" t="s">
        <v>334</v>
      </c>
      <c r="B24" t="s">
        <v>335</v>
      </c>
      <c r="C24" t="s">
        <v>336</v>
      </c>
      <c r="D24" t="s">
        <v>88</v>
      </c>
      <c r="E24">
        <v>25</v>
      </c>
      <c r="F24" t="s">
        <v>402</v>
      </c>
      <c r="G24" s="4">
        <v>14.7561577654337</v>
      </c>
      <c r="H24" s="4">
        <v>13.985098140616399</v>
      </c>
      <c r="I24" s="4">
        <v>12.850615898590901</v>
      </c>
      <c r="J24" s="4">
        <v>8.9139401240049594</v>
      </c>
      <c r="K24" s="4">
        <v>10.969458969835401</v>
      </c>
      <c r="L24" s="4">
        <v>12.9925925639171</v>
      </c>
      <c r="M24" s="4">
        <v>13.868124575170899</v>
      </c>
      <c r="N24" s="4">
        <v>12.719924650230301</v>
      </c>
      <c r="O24" s="4">
        <v>13.5736534268478</v>
      </c>
      <c r="P24" s="4">
        <v>10.8102612148337</v>
      </c>
      <c r="Q24" s="4">
        <v>12.055245146613199</v>
      </c>
      <c r="R24" s="4">
        <v>14.7438238392181</v>
      </c>
      <c r="S24" s="4">
        <v>14.206483220788799</v>
      </c>
      <c r="T24" s="4">
        <v>12.0063277089009</v>
      </c>
      <c r="U24" s="4">
        <v>13.9668792883697</v>
      </c>
      <c r="V24" s="4">
        <v>13.8522634999789</v>
      </c>
      <c r="W24" s="4">
        <v>13.960541702795</v>
      </c>
      <c r="X24" s="4">
        <v>13.583788110748101</v>
      </c>
      <c r="Y24" s="4">
        <v>7.02651875264577</v>
      </c>
      <c r="Z24" s="4">
        <v>14.5701677449724</v>
      </c>
      <c r="AA24" s="4">
        <v>13.861359798442701</v>
      </c>
      <c r="AB24" s="4">
        <v>15.539575297118301</v>
      </c>
      <c r="AC24" s="4">
        <v>11.072392359866001</v>
      </c>
      <c r="AD24" s="4">
        <v>14.782611900615599</v>
      </c>
      <c r="AE24">
        <v>1.78582</v>
      </c>
      <c r="AF24">
        <v>4.7351999999999999</v>
      </c>
      <c r="AG24">
        <v>6.11754</v>
      </c>
      <c r="AH24" t="s">
        <v>337</v>
      </c>
      <c r="AI24">
        <v>5.45343</v>
      </c>
      <c r="AJ24">
        <v>7.0885999999999996</v>
      </c>
      <c r="AK24">
        <v>0.53313999999999995</v>
      </c>
      <c r="AL24">
        <v>11.20068</v>
      </c>
      <c r="AM24">
        <v>13.45628</v>
      </c>
      <c r="AN24">
        <v>2.4840499999999999</v>
      </c>
      <c r="AO24">
        <v>1.6747799999999999</v>
      </c>
      <c r="AP24">
        <v>5.8412600000000001</v>
      </c>
      <c r="AQ24">
        <v>-0.17821999999999999</v>
      </c>
      <c r="AR24">
        <v>-0.45407999999999998</v>
      </c>
      <c r="AS24">
        <v>-0.67164000000000001</v>
      </c>
      <c r="AT24">
        <v>1.464</v>
      </c>
      <c r="AU24">
        <v>1.42449</v>
      </c>
      <c r="AV24">
        <v>1.4978400000000001</v>
      </c>
      <c r="AW24">
        <v>-0.89012999999999998</v>
      </c>
      <c r="AX24">
        <v>1.01627</v>
      </c>
      <c r="AY24">
        <v>9.2026000000000003</v>
      </c>
      <c r="AZ24">
        <v>2.90964</v>
      </c>
      <c r="BA24">
        <v>3.43018</v>
      </c>
      <c r="BB24">
        <v>11.412710000000001</v>
      </c>
      <c r="BC24" s="4">
        <f>Y24-Q24</f>
        <v>-5.0287263939674292</v>
      </c>
      <c r="BD24">
        <f t="shared" si="0"/>
        <v>-3.3840000000000092E-2</v>
      </c>
    </row>
    <row r="25" spans="1:56" x14ac:dyDescent="0.35">
      <c r="A25" t="s">
        <v>358</v>
      </c>
      <c r="B25" t="s">
        <v>359</v>
      </c>
      <c r="C25" t="s">
        <v>360</v>
      </c>
      <c r="D25" t="s">
        <v>88</v>
      </c>
      <c r="E25">
        <v>18</v>
      </c>
      <c r="F25" t="s">
        <v>401</v>
      </c>
      <c r="G25" s="4">
        <v>14.8948459766596</v>
      </c>
      <c r="H25" s="4">
        <v>14.9036125200823</v>
      </c>
      <c r="I25" s="4">
        <v>13.793935275473499</v>
      </c>
      <c r="J25" s="4">
        <v>9.0424074964180008</v>
      </c>
      <c r="K25" s="4">
        <v>11.304094691938801</v>
      </c>
      <c r="L25" s="4">
        <v>13.747128614648201</v>
      </c>
      <c r="M25" s="4">
        <v>13.338989843928999</v>
      </c>
      <c r="N25" s="4">
        <v>12.643018705128901</v>
      </c>
      <c r="O25" s="4">
        <v>14.382136822461</v>
      </c>
      <c r="P25" s="4">
        <v>10.7738284412089</v>
      </c>
      <c r="Q25" s="4">
        <v>12.6339909617244</v>
      </c>
      <c r="R25" s="4">
        <v>14.5169824092987</v>
      </c>
      <c r="S25" s="4">
        <v>13.719334013404101</v>
      </c>
      <c r="T25" s="4">
        <v>10.9912070423291</v>
      </c>
      <c r="U25" s="4">
        <v>14.185164900421899</v>
      </c>
      <c r="V25" s="4">
        <v>13.672754258391301</v>
      </c>
      <c r="W25" s="4">
        <v>12.9270671007387</v>
      </c>
      <c r="X25" s="4">
        <v>12.8043913261975</v>
      </c>
      <c r="Y25" s="4">
        <v>6.2237643526401101</v>
      </c>
      <c r="Z25" s="4">
        <v>14.1708278784994</v>
      </c>
      <c r="AA25" s="4">
        <v>14.0689877451737</v>
      </c>
      <c r="AB25" s="4">
        <v>13.7209113606632</v>
      </c>
      <c r="AC25" s="4">
        <v>11.5149909941529</v>
      </c>
      <c r="AD25" s="4">
        <v>14.9432396705068</v>
      </c>
      <c r="AE25">
        <v>2.0033300000000001</v>
      </c>
      <c r="AF25">
        <v>4.3739699999999999</v>
      </c>
      <c r="AG25">
        <v>6.1093299999999999</v>
      </c>
      <c r="AH25" t="s">
        <v>361</v>
      </c>
      <c r="AI25">
        <v>5.6797000000000004</v>
      </c>
      <c r="AJ25">
        <v>6.8680500000000002</v>
      </c>
      <c r="AK25">
        <v>2.5640900000000002</v>
      </c>
      <c r="AL25">
        <v>11.370139999999999</v>
      </c>
      <c r="AM25">
        <v>14.02623</v>
      </c>
      <c r="AN25">
        <v>3.2327599999999999</v>
      </c>
      <c r="AO25">
        <v>1.3713</v>
      </c>
      <c r="AP25">
        <v>5.7893499999999998</v>
      </c>
      <c r="AQ25">
        <v>0.24503</v>
      </c>
      <c r="AR25">
        <v>-0.27676000000000001</v>
      </c>
      <c r="AS25">
        <v>-0.77661000000000002</v>
      </c>
      <c r="AT25">
        <v>0.78230999999999995</v>
      </c>
      <c r="AU25">
        <v>1.22384</v>
      </c>
      <c r="AV25">
        <v>1.56151</v>
      </c>
      <c r="AW25">
        <v>-0.1057</v>
      </c>
      <c r="AX25">
        <v>4.1439999999999998E-2</v>
      </c>
      <c r="AY25">
        <v>8.8322400000000005</v>
      </c>
      <c r="AZ25">
        <v>2.6051000000000002</v>
      </c>
      <c r="BA25">
        <v>3.2484999999999999</v>
      </c>
      <c r="BB25">
        <v>11.34759</v>
      </c>
      <c r="BC25" s="4">
        <f>Y25-Q25</f>
        <v>-6.4102266090842903</v>
      </c>
      <c r="BD25">
        <f t="shared" si="0"/>
        <v>-0.7792</v>
      </c>
    </row>
    <row r="26" spans="1:56" x14ac:dyDescent="0.35">
      <c r="A26" t="s">
        <v>362</v>
      </c>
      <c r="B26" t="s">
        <v>363</v>
      </c>
      <c r="C26" t="s">
        <v>364</v>
      </c>
      <c r="D26" t="s">
        <v>88</v>
      </c>
      <c r="E26">
        <v>39</v>
      </c>
      <c r="F26" t="s">
        <v>402</v>
      </c>
      <c r="G26" s="4">
        <v>15.444510053853</v>
      </c>
      <c r="H26" s="4">
        <v>14.2731311197726</v>
      </c>
      <c r="I26" s="4">
        <v>12.768794268807699</v>
      </c>
      <c r="J26" s="4">
        <v>8.8206255701755101</v>
      </c>
      <c r="K26" s="4">
        <v>10.9531628676918</v>
      </c>
      <c r="L26" s="4">
        <v>13.4042862554327</v>
      </c>
      <c r="M26" s="4">
        <v>13.5940213463682</v>
      </c>
      <c r="N26" s="4">
        <v>12.7840018681435</v>
      </c>
      <c r="O26" s="4">
        <v>9.3074228736968099</v>
      </c>
      <c r="P26" s="4">
        <v>12.1533238215947</v>
      </c>
      <c r="Q26" s="4">
        <v>12.048212423995899</v>
      </c>
      <c r="R26" s="4">
        <v>14.1833426581839</v>
      </c>
      <c r="S26" s="4">
        <v>13.271579285416401</v>
      </c>
      <c r="T26" s="4">
        <v>12.7656227450563</v>
      </c>
      <c r="U26" s="4">
        <v>14.012785346609199</v>
      </c>
      <c r="V26" s="4">
        <v>14.1497426993998</v>
      </c>
      <c r="W26" s="4">
        <v>14.227877678987101</v>
      </c>
      <c r="X26" s="4">
        <v>16.111440117086701</v>
      </c>
      <c r="Y26" s="4">
        <v>6.98001094693086</v>
      </c>
      <c r="Z26" s="4">
        <v>14.063104283700699</v>
      </c>
      <c r="AA26" s="4">
        <v>12.904655889246801</v>
      </c>
      <c r="AB26" s="4">
        <v>13.1371076676807</v>
      </c>
      <c r="AC26" s="4">
        <v>10.7890402719816</v>
      </c>
      <c r="AD26" s="4">
        <v>15.131352405877699</v>
      </c>
      <c r="AE26">
        <v>1.6407099999999999</v>
      </c>
      <c r="AF26">
        <v>4.9212600000000002</v>
      </c>
      <c r="AG26">
        <v>6.1975199999999999</v>
      </c>
      <c r="AH26" t="s">
        <v>365</v>
      </c>
      <c r="AI26">
        <v>6.4593400000000001</v>
      </c>
      <c r="AJ26">
        <v>7.7164400000000004</v>
      </c>
      <c r="AK26">
        <v>0.78642999999999996</v>
      </c>
      <c r="AL26">
        <v>11.24863</v>
      </c>
      <c r="AM26">
        <v>13.93408</v>
      </c>
      <c r="AN26">
        <v>3.18208</v>
      </c>
      <c r="AO26">
        <v>1.82317</v>
      </c>
      <c r="AP26">
        <v>7.5100100000000003</v>
      </c>
      <c r="AQ26">
        <v>-0.14752000000000001</v>
      </c>
      <c r="AR26">
        <v>-0.79720000000000002</v>
      </c>
      <c r="AS26">
        <v>-1.53505</v>
      </c>
      <c r="AT26">
        <v>1.1202099999999999</v>
      </c>
      <c r="AU26">
        <v>0.95916999999999997</v>
      </c>
      <c r="AV26">
        <v>1.7010099999999999</v>
      </c>
      <c r="AW26">
        <v>-0.73360000000000003</v>
      </c>
      <c r="AX26">
        <v>0.33356999999999998</v>
      </c>
      <c r="AY26">
        <v>8.4891400000000008</v>
      </c>
      <c r="AZ26">
        <v>1.72692</v>
      </c>
      <c r="BA26">
        <v>3.5462400000000001</v>
      </c>
      <c r="BB26">
        <v>12.29266</v>
      </c>
      <c r="BC26" s="4">
        <f>Y26-Q26</f>
        <v>-5.0682014770650392</v>
      </c>
      <c r="BD26">
        <f t="shared" si="0"/>
        <v>-0.58079999999999998</v>
      </c>
    </row>
    <row r="27" spans="1:56" x14ac:dyDescent="0.35">
      <c r="A27" t="s">
        <v>382</v>
      </c>
      <c r="B27" t="s">
        <v>383</v>
      </c>
      <c r="C27" t="s">
        <v>384</v>
      </c>
      <c r="D27" t="s">
        <v>88</v>
      </c>
      <c r="E27">
        <v>18</v>
      </c>
      <c r="F27" t="s">
        <v>401</v>
      </c>
      <c r="G27" s="4">
        <v>14.490159539302899</v>
      </c>
      <c r="H27" s="4">
        <v>12.8916988166204</v>
      </c>
      <c r="I27" s="4">
        <v>13.303888060172699</v>
      </c>
      <c r="J27" s="4">
        <v>9.5154653536281195</v>
      </c>
      <c r="K27" s="4">
        <v>10.8801691332835</v>
      </c>
      <c r="L27" s="4">
        <v>13.127735033245299</v>
      </c>
      <c r="M27" s="4">
        <v>12.353100571037499</v>
      </c>
      <c r="N27" s="4">
        <v>14.3605156633913</v>
      </c>
      <c r="O27" s="4">
        <v>10.714404530285901</v>
      </c>
      <c r="P27" s="4">
        <v>13.3315639884778</v>
      </c>
      <c r="Q27" s="4">
        <v>15.054165985882401</v>
      </c>
      <c r="R27" s="4">
        <v>15.983314319867601</v>
      </c>
      <c r="S27" s="4">
        <v>13.519649451457701</v>
      </c>
      <c r="T27" s="4">
        <v>11.1278143224428</v>
      </c>
      <c r="U27" s="4">
        <v>15.0078929172351</v>
      </c>
      <c r="V27" s="4">
        <v>14.1455597109914</v>
      </c>
      <c r="W27" s="4">
        <v>14.634774936705</v>
      </c>
      <c r="X27" s="4">
        <v>14.7595316386071</v>
      </c>
      <c r="Y27" s="4">
        <v>8.1634219791912699</v>
      </c>
      <c r="Z27" s="4">
        <v>12.6159127737182</v>
      </c>
      <c r="AA27" s="4">
        <v>14.4361068421528</v>
      </c>
      <c r="AB27" s="4">
        <v>13.663402225304599</v>
      </c>
      <c r="AC27" s="4">
        <v>11.843971131021499</v>
      </c>
      <c r="AD27" s="4">
        <v>14.848998687250299</v>
      </c>
      <c r="AE27">
        <v>1.9707300000000001</v>
      </c>
      <c r="AF27">
        <v>5.2313000000000001</v>
      </c>
      <c r="AG27">
        <v>6.2196800000000003</v>
      </c>
      <c r="AH27" t="s">
        <v>385</v>
      </c>
      <c r="AI27">
        <v>7.3635900000000003</v>
      </c>
      <c r="AJ27">
        <v>6.8056900000000002</v>
      </c>
      <c r="AK27">
        <v>1.0205599999999999</v>
      </c>
      <c r="AL27">
        <v>11.15335</v>
      </c>
      <c r="AM27">
        <v>12.51365</v>
      </c>
      <c r="AN27">
        <v>3.24518</v>
      </c>
      <c r="AO27">
        <v>1.28251</v>
      </c>
      <c r="AP27">
        <v>8.7423099999999998</v>
      </c>
      <c r="AQ27">
        <v>6.3880000000000006E-2</v>
      </c>
      <c r="AR27">
        <v>-8.6360000000000006E-2</v>
      </c>
      <c r="AS27">
        <v>-1.05183</v>
      </c>
      <c r="AT27">
        <v>2.3079100000000001</v>
      </c>
      <c r="AU27">
        <v>0.42187000000000002</v>
      </c>
      <c r="AV27">
        <v>4.2546099999999996</v>
      </c>
      <c r="AW27">
        <v>-0.69874999999999998</v>
      </c>
      <c r="AX27">
        <v>0.60189999999999999</v>
      </c>
      <c r="AY27">
        <v>9.2678100000000008</v>
      </c>
      <c r="AZ27">
        <v>2.8030499999999998</v>
      </c>
      <c r="BA27">
        <v>3.9725000000000001</v>
      </c>
      <c r="BB27">
        <v>11.73963</v>
      </c>
      <c r="BC27" s="4">
        <f>Y27-Q27</f>
        <v>-6.890744006691131</v>
      </c>
      <c r="BD27">
        <f t="shared" si="0"/>
        <v>-1.9466999999999994</v>
      </c>
    </row>
    <row r="28" spans="1:56" x14ac:dyDescent="0.35">
      <c r="A28" t="s">
        <v>51</v>
      </c>
      <c r="B28" t="s">
        <v>52</v>
      </c>
      <c r="C28" t="s">
        <v>53</v>
      </c>
      <c r="D28" t="s">
        <v>54</v>
      </c>
      <c r="E28">
        <v>33</v>
      </c>
      <c r="F28" t="s">
        <v>401</v>
      </c>
      <c r="G28" s="4">
        <v>14.264516211147701</v>
      </c>
      <c r="H28" s="4">
        <v>13.351849739207401</v>
      </c>
      <c r="I28" s="4">
        <v>12.6704294750614</v>
      </c>
      <c r="J28" s="4">
        <v>8.9149820228822705</v>
      </c>
      <c r="K28" s="4">
        <v>9.2430093835577694</v>
      </c>
      <c r="L28" s="4">
        <v>12.675212263058199</v>
      </c>
      <c r="M28" s="4">
        <v>11.8322465172993</v>
      </c>
      <c r="N28" s="4">
        <v>12.234733085518499</v>
      </c>
      <c r="O28" s="4">
        <v>9.5476846529877299</v>
      </c>
      <c r="P28" s="4">
        <v>10.7075464670774</v>
      </c>
      <c r="Q28" s="4">
        <v>12.6947806205725</v>
      </c>
      <c r="R28" s="4">
        <v>14.4734354319154</v>
      </c>
      <c r="S28" s="4">
        <v>12.6180000195322</v>
      </c>
      <c r="T28" s="4">
        <v>11.1527207882682</v>
      </c>
      <c r="U28" s="4">
        <v>13.4957191583793</v>
      </c>
      <c r="V28" s="4">
        <v>14.4528160779263</v>
      </c>
      <c r="W28" s="4">
        <v>12.678397891695001</v>
      </c>
      <c r="X28" s="4">
        <v>15.269069455786701</v>
      </c>
      <c r="Y28" s="4">
        <v>12.954359935743501</v>
      </c>
      <c r="Z28" s="4">
        <v>13.0023332222801</v>
      </c>
      <c r="AA28" s="4">
        <v>13.6197430868948</v>
      </c>
      <c r="AB28" s="4">
        <v>16.423573604282399</v>
      </c>
      <c r="AC28" s="4">
        <v>10.578793610776501</v>
      </c>
      <c r="AD28" s="4">
        <v>14.5597422125681</v>
      </c>
      <c r="AE28">
        <v>1.35483</v>
      </c>
      <c r="AF28">
        <v>4.86496</v>
      </c>
      <c r="AG28">
        <v>5.5694800000000004</v>
      </c>
      <c r="AH28" t="s">
        <v>55</v>
      </c>
      <c r="AI28">
        <v>5.3789300000000004</v>
      </c>
      <c r="AJ28">
        <v>6.5440800000000001</v>
      </c>
      <c r="AK28">
        <v>0.12259</v>
      </c>
      <c r="AL28">
        <v>11.455640000000001</v>
      </c>
      <c r="AM28">
        <v>13.025700000000001</v>
      </c>
      <c r="AN28">
        <v>2.5015000000000001</v>
      </c>
      <c r="AO28">
        <v>0.92674999999999996</v>
      </c>
      <c r="AP28">
        <v>6.3406500000000001</v>
      </c>
      <c r="AQ28">
        <v>-0.36418</v>
      </c>
      <c r="AR28">
        <v>-0.98524</v>
      </c>
      <c r="AS28">
        <v>-1.1136699999999999</v>
      </c>
      <c r="AT28">
        <v>7.5305299999999997</v>
      </c>
      <c r="AU28">
        <v>0.32006000000000001</v>
      </c>
      <c r="AV28">
        <v>2.7490800000000002</v>
      </c>
      <c r="AW28">
        <v>-1.5808500000000001</v>
      </c>
      <c r="AX28">
        <v>-0.16353999999999999</v>
      </c>
      <c r="AY28">
        <v>8.8714099999999991</v>
      </c>
      <c r="AZ28">
        <v>4.9575100000000001</v>
      </c>
      <c r="BA28">
        <v>2.8288199999999999</v>
      </c>
      <c r="BB28">
        <v>11.939170000000001</v>
      </c>
      <c r="BC28" s="4">
        <f>Y28-Q28</f>
        <v>0.25957931517100086</v>
      </c>
      <c r="BD28">
        <f t="shared" si="0"/>
        <v>4.7814499999999995</v>
      </c>
    </row>
    <row r="29" spans="1:56" x14ac:dyDescent="0.35">
      <c r="A29" t="s">
        <v>56</v>
      </c>
      <c r="B29" t="s">
        <v>57</v>
      </c>
      <c r="C29" t="s">
        <v>58</v>
      </c>
      <c r="D29" t="s">
        <v>54</v>
      </c>
      <c r="E29">
        <v>68</v>
      </c>
      <c r="F29" t="s">
        <v>401</v>
      </c>
      <c r="G29" s="4">
        <v>15.275264275002399</v>
      </c>
      <c r="H29" s="4">
        <v>13.9369915279345</v>
      </c>
      <c r="I29" s="4">
        <v>15.834817711543201</v>
      </c>
      <c r="J29" s="4">
        <v>10.481657586460001</v>
      </c>
      <c r="K29" s="4">
        <v>11.6241719007571</v>
      </c>
      <c r="L29" s="4">
        <v>13.240668073728999</v>
      </c>
      <c r="M29" s="4">
        <v>14.5271435716111</v>
      </c>
      <c r="N29" s="4">
        <v>12.897809864029099</v>
      </c>
      <c r="O29" s="4">
        <v>8.8114044878191695</v>
      </c>
      <c r="P29" s="4">
        <v>12.718026777688801</v>
      </c>
      <c r="Q29" s="4">
        <v>14.3546416129576</v>
      </c>
      <c r="R29" s="4">
        <v>13.3050645090853</v>
      </c>
      <c r="S29" s="4">
        <v>13.092587545394</v>
      </c>
      <c r="T29" s="4">
        <v>11.570962847075799</v>
      </c>
      <c r="U29" s="4">
        <v>14.911095794620399</v>
      </c>
      <c r="V29" s="4">
        <v>14.730766983753499</v>
      </c>
      <c r="W29" s="4">
        <v>13.265910989342601</v>
      </c>
      <c r="X29" s="4">
        <v>14.076465128273</v>
      </c>
      <c r="Y29" s="4">
        <v>12.769937529383901</v>
      </c>
      <c r="Z29" s="4">
        <v>15.9800731458367</v>
      </c>
      <c r="AA29" s="4">
        <v>13.166233557621799</v>
      </c>
      <c r="AB29" s="4">
        <v>15.7794305915659</v>
      </c>
      <c r="AC29" s="4">
        <v>11.745107526001799</v>
      </c>
      <c r="AD29" s="4">
        <v>15.1069789193437</v>
      </c>
      <c r="AE29">
        <v>2.1028699999999998</v>
      </c>
      <c r="AF29">
        <v>6.64757</v>
      </c>
      <c r="AG29">
        <v>7.6852799999999997</v>
      </c>
      <c r="AH29" t="s">
        <v>59</v>
      </c>
      <c r="AI29">
        <v>6.8212000000000002</v>
      </c>
      <c r="AJ29">
        <v>7.8729500000000003</v>
      </c>
      <c r="AK29">
        <v>1.15063</v>
      </c>
      <c r="AL29">
        <v>13.83385</v>
      </c>
      <c r="AM29">
        <v>13.7957</v>
      </c>
      <c r="AN29">
        <v>3.6277599999999999</v>
      </c>
      <c r="AO29">
        <v>0.72058</v>
      </c>
      <c r="AP29">
        <v>8.4581199999999992</v>
      </c>
      <c r="AQ29">
        <v>0.69347000000000003</v>
      </c>
      <c r="AR29">
        <v>0.70740999999999998</v>
      </c>
      <c r="AS29">
        <v>-0.61475000000000002</v>
      </c>
      <c r="AT29">
        <v>7.7919499999999999</v>
      </c>
      <c r="AU29">
        <v>2.9139400000000002</v>
      </c>
      <c r="AV29">
        <v>4.3291500000000003</v>
      </c>
      <c r="AW29">
        <v>-0.15368999999999999</v>
      </c>
      <c r="AX29">
        <v>1.1258999999999999</v>
      </c>
      <c r="AY29">
        <v>9.1690100000000001</v>
      </c>
      <c r="AZ29">
        <v>6.7911900000000003</v>
      </c>
      <c r="BA29">
        <v>4.43499</v>
      </c>
      <c r="BB29">
        <v>12.88278</v>
      </c>
      <c r="BC29" s="4">
        <f>Y29-Q29</f>
        <v>-1.5847040835736994</v>
      </c>
      <c r="BD29">
        <f t="shared" si="0"/>
        <v>3.4627999999999997</v>
      </c>
    </row>
    <row r="30" spans="1:56" x14ac:dyDescent="0.35">
      <c r="A30" t="s">
        <v>106</v>
      </c>
      <c r="B30" t="s">
        <v>107</v>
      </c>
      <c r="C30" t="s">
        <v>108</v>
      </c>
      <c r="D30" t="s">
        <v>54</v>
      </c>
      <c r="E30">
        <v>30</v>
      </c>
      <c r="F30" t="s">
        <v>401</v>
      </c>
      <c r="G30" s="4">
        <v>13.709248754451201</v>
      </c>
      <c r="H30" s="4">
        <v>12.2923797522805</v>
      </c>
      <c r="I30" s="4">
        <v>13.1630971768984</v>
      </c>
      <c r="J30" s="4">
        <v>9.11257888076236</v>
      </c>
      <c r="K30" s="4">
        <v>10.988632602717299</v>
      </c>
      <c r="L30" s="4">
        <v>12.8480868600465</v>
      </c>
      <c r="M30" s="4">
        <v>12.379030363177</v>
      </c>
      <c r="N30" s="4">
        <v>10.8883602528518</v>
      </c>
      <c r="O30" s="4">
        <v>11.2428123936951</v>
      </c>
      <c r="P30" s="4">
        <v>8.4217988829467902</v>
      </c>
      <c r="Q30" s="4">
        <v>11.883008432920301</v>
      </c>
      <c r="R30" s="4">
        <v>13.9409653868164</v>
      </c>
      <c r="S30" s="4">
        <v>13.2912979307395</v>
      </c>
      <c r="T30" s="4">
        <v>11.3594004722822</v>
      </c>
      <c r="U30" s="4">
        <v>13.160847969452201</v>
      </c>
      <c r="V30" s="4">
        <v>15.3716583528358</v>
      </c>
      <c r="W30" s="4">
        <v>10.967232976842499</v>
      </c>
      <c r="X30" s="4">
        <v>11.9519022399002</v>
      </c>
      <c r="Y30" s="4">
        <v>9.0442331483251195</v>
      </c>
      <c r="Z30" s="4">
        <v>13.719998659159099</v>
      </c>
      <c r="AA30" s="4">
        <v>14.045162458031401</v>
      </c>
      <c r="AB30" s="4">
        <v>14.909472755620101</v>
      </c>
      <c r="AC30" s="4">
        <v>10.4963534186101</v>
      </c>
      <c r="AD30" s="4">
        <v>14.7409904023776</v>
      </c>
      <c r="AE30">
        <v>1.78843</v>
      </c>
      <c r="AF30">
        <v>5.1576899999999997</v>
      </c>
      <c r="AG30">
        <v>6.7966699999999998</v>
      </c>
      <c r="AH30" t="s">
        <v>109</v>
      </c>
      <c r="AI30">
        <v>4.4357600000000001</v>
      </c>
      <c r="AJ30">
        <v>6.3782100000000002</v>
      </c>
      <c r="AK30">
        <v>0.80788000000000004</v>
      </c>
      <c r="AL30">
        <v>11.153359999999999</v>
      </c>
      <c r="AM30">
        <v>11.983129999999999</v>
      </c>
      <c r="AN30">
        <v>3.5236499999999999</v>
      </c>
      <c r="AO30">
        <v>1.62697</v>
      </c>
      <c r="AP30">
        <v>3.8112699999999999</v>
      </c>
      <c r="AQ30">
        <v>0.32416</v>
      </c>
      <c r="AR30">
        <v>-0.65564</v>
      </c>
      <c r="AS30">
        <v>1.3595999999999999</v>
      </c>
      <c r="AT30">
        <v>3.9291</v>
      </c>
      <c r="AU30">
        <v>1.07683</v>
      </c>
      <c r="AV30">
        <v>1.79636</v>
      </c>
      <c r="AW30">
        <v>-0.26862000000000003</v>
      </c>
      <c r="AX30">
        <v>-0.34870000000000001</v>
      </c>
      <c r="AY30">
        <v>9.00488</v>
      </c>
      <c r="AZ30">
        <v>4.3204500000000001</v>
      </c>
      <c r="BA30">
        <v>3.0090300000000001</v>
      </c>
      <c r="BB30">
        <v>11.687720000000001</v>
      </c>
      <c r="BC30" s="4">
        <f>Y30-Q30</f>
        <v>-2.8387752845951812</v>
      </c>
      <c r="BD30">
        <f t="shared" si="0"/>
        <v>2.1327400000000001</v>
      </c>
    </row>
    <row r="31" spans="1:56" x14ac:dyDescent="0.35">
      <c r="A31" t="s">
        <v>158</v>
      </c>
      <c r="B31" t="s">
        <v>159</v>
      </c>
      <c r="C31" t="s">
        <v>160</v>
      </c>
      <c r="D31" t="s">
        <v>54</v>
      </c>
      <c r="E31">
        <v>22</v>
      </c>
      <c r="F31" t="s">
        <v>401</v>
      </c>
      <c r="G31" s="4">
        <v>14.506463547302699</v>
      </c>
      <c r="H31" s="4">
        <v>13.350233979199301</v>
      </c>
      <c r="I31" s="4">
        <v>13.1076124026338</v>
      </c>
      <c r="J31" s="4">
        <v>9.3990451992823907</v>
      </c>
      <c r="K31" s="4">
        <v>11.3135708055016</v>
      </c>
      <c r="L31" s="4">
        <v>13.231180051914899</v>
      </c>
      <c r="M31" s="4">
        <v>11.918055384310501</v>
      </c>
      <c r="N31" s="4">
        <v>13.0650920796361</v>
      </c>
      <c r="O31" s="4">
        <v>13.241619265642401</v>
      </c>
      <c r="P31" s="4">
        <v>10.345186291733301</v>
      </c>
      <c r="Q31" s="4">
        <v>12.0935736336062</v>
      </c>
      <c r="R31" s="4">
        <v>12.260237219711501</v>
      </c>
      <c r="S31" s="4">
        <v>12.761241555263</v>
      </c>
      <c r="T31" s="4">
        <v>10.9211608824224</v>
      </c>
      <c r="U31" s="4">
        <v>14.141493898299901</v>
      </c>
      <c r="V31" s="4">
        <v>14.4343991590553</v>
      </c>
      <c r="W31" s="4">
        <v>10.6603103995655</v>
      </c>
      <c r="X31" s="4">
        <v>12.3490047412799</v>
      </c>
      <c r="Y31" s="4">
        <v>9.5033804878536507</v>
      </c>
      <c r="Z31" s="4">
        <v>13.400417574594099</v>
      </c>
      <c r="AA31" s="4">
        <v>13.9951724533205</v>
      </c>
      <c r="AB31" s="4">
        <v>14.061025661972099</v>
      </c>
      <c r="AC31" s="4">
        <v>11.193461441808299</v>
      </c>
      <c r="AD31" s="4">
        <v>14.7685226919986</v>
      </c>
      <c r="AE31">
        <v>1.7529300000000001</v>
      </c>
      <c r="AF31">
        <v>5.18032</v>
      </c>
      <c r="AG31">
        <v>6.7354399999999996</v>
      </c>
      <c r="AH31" t="s">
        <v>161</v>
      </c>
      <c r="AI31">
        <v>5.2765599999999999</v>
      </c>
      <c r="AJ31">
        <v>6.8674299999999997</v>
      </c>
      <c r="AK31">
        <v>0.41664000000000001</v>
      </c>
      <c r="AL31">
        <v>11.06006</v>
      </c>
      <c r="AM31">
        <v>12.5105</v>
      </c>
      <c r="AN31">
        <v>3.13273</v>
      </c>
      <c r="AO31">
        <v>0.43601000000000001</v>
      </c>
      <c r="AP31">
        <v>5.3847100000000001</v>
      </c>
      <c r="AQ31">
        <v>3.9649999999999998E-2</v>
      </c>
      <c r="AR31">
        <v>-1.32605</v>
      </c>
      <c r="AS31">
        <v>-0.95267000000000002</v>
      </c>
      <c r="AT31">
        <v>3.7637100000000001</v>
      </c>
      <c r="AU31">
        <v>0.50717000000000001</v>
      </c>
      <c r="AV31">
        <v>1.7787200000000001</v>
      </c>
      <c r="AW31">
        <v>-1.6368799999999999</v>
      </c>
      <c r="AX31">
        <v>-6.694E-2</v>
      </c>
      <c r="AY31">
        <v>8.9386700000000001</v>
      </c>
      <c r="AZ31">
        <v>2.7477999999999998</v>
      </c>
      <c r="BA31">
        <v>3.0699399999999999</v>
      </c>
      <c r="BB31">
        <v>11.565379999999999</v>
      </c>
      <c r="BC31" s="4">
        <f>Y31-Q31</f>
        <v>-2.5901931457525489</v>
      </c>
      <c r="BD31">
        <f t="shared" si="0"/>
        <v>1.98499</v>
      </c>
    </row>
    <row r="32" spans="1:56" x14ac:dyDescent="0.35">
      <c r="A32" t="s">
        <v>162</v>
      </c>
      <c r="B32" t="s">
        <v>163</v>
      </c>
      <c r="C32" t="s">
        <v>164</v>
      </c>
      <c r="D32" t="s">
        <v>54</v>
      </c>
      <c r="E32">
        <v>26</v>
      </c>
      <c r="F32" t="s">
        <v>401</v>
      </c>
      <c r="G32" s="4">
        <v>14.0343649219484</v>
      </c>
      <c r="H32" s="4">
        <v>13.5629953465935</v>
      </c>
      <c r="I32" s="4">
        <v>13.071051570157399</v>
      </c>
      <c r="J32" s="4">
        <v>9.2303249737257698</v>
      </c>
      <c r="K32" s="4">
        <v>11.8482888572325</v>
      </c>
      <c r="L32" s="4">
        <v>12.9330772857992</v>
      </c>
      <c r="M32" s="4">
        <v>12.791113828697799</v>
      </c>
      <c r="N32" s="4">
        <v>13.3959757247416</v>
      </c>
      <c r="O32" s="4">
        <v>10.3368903313405</v>
      </c>
      <c r="P32" s="4">
        <v>11.6709286797098</v>
      </c>
      <c r="Q32" s="4">
        <v>14.2075772311438</v>
      </c>
      <c r="R32" s="4">
        <v>13.7056808987927</v>
      </c>
      <c r="S32" s="4">
        <v>13.6452682206706</v>
      </c>
      <c r="T32" s="4">
        <v>11.034002272770801</v>
      </c>
      <c r="U32" s="4">
        <v>13.461089527303301</v>
      </c>
      <c r="V32" s="4">
        <v>14.475610200599199</v>
      </c>
      <c r="W32" s="4">
        <v>12.388964581460201</v>
      </c>
      <c r="X32" s="4">
        <v>16.448236424184302</v>
      </c>
      <c r="Y32" s="4">
        <v>11.896632238595901</v>
      </c>
      <c r="Z32" s="4">
        <v>14.025860008507999</v>
      </c>
      <c r="AA32" s="4">
        <v>13.8654170330251</v>
      </c>
      <c r="AB32" s="4">
        <v>15.2151128157182</v>
      </c>
      <c r="AC32" s="4">
        <v>11.050116266464901</v>
      </c>
      <c r="AD32" s="4">
        <v>15.2227694232808</v>
      </c>
      <c r="AE32">
        <v>1.8290299999999999</v>
      </c>
      <c r="AF32">
        <v>5.0829500000000003</v>
      </c>
      <c r="AG32">
        <v>6.8388400000000003</v>
      </c>
      <c r="AH32" t="s">
        <v>165</v>
      </c>
      <c r="AI32">
        <v>6.04948</v>
      </c>
      <c r="AJ32">
        <v>5.9661200000000001</v>
      </c>
      <c r="AK32">
        <v>1.0909199999999999</v>
      </c>
      <c r="AL32">
        <v>11.10229</v>
      </c>
      <c r="AM32">
        <v>12.911709999999999</v>
      </c>
      <c r="AN32">
        <v>2.25549</v>
      </c>
      <c r="AO32">
        <v>1.1348</v>
      </c>
      <c r="AP32">
        <v>6.8610100000000003</v>
      </c>
      <c r="AQ32">
        <v>-0.26317000000000002</v>
      </c>
      <c r="AR32">
        <v>-0.53042999999999996</v>
      </c>
      <c r="AS32">
        <v>-0.91856000000000004</v>
      </c>
      <c r="AT32">
        <v>6.1163299999999996</v>
      </c>
      <c r="AU32">
        <v>0.92762</v>
      </c>
      <c r="AV32">
        <v>3.3607999999999998</v>
      </c>
      <c r="AW32">
        <v>-0.81340000000000001</v>
      </c>
      <c r="AX32">
        <v>1.27946</v>
      </c>
      <c r="AY32">
        <v>8.1887399999999992</v>
      </c>
      <c r="AZ32">
        <v>3.8686099999999999</v>
      </c>
      <c r="BA32">
        <v>3.92584</v>
      </c>
      <c r="BB32">
        <v>12.20561</v>
      </c>
      <c r="BC32" s="4">
        <f>Y32-Q32</f>
        <v>-2.3109449925478991</v>
      </c>
      <c r="BD32">
        <f t="shared" si="0"/>
        <v>2.7555299999999998</v>
      </c>
    </row>
    <row r="33" spans="1:56" x14ac:dyDescent="0.35">
      <c r="A33" t="s">
        <v>166</v>
      </c>
      <c r="B33" t="s">
        <v>167</v>
      </c>
      <c r="C33" t="s">
        <v>168</v>
      </c>
      <c r="D33" t="s">
        <v>54</v>
      </c>
      <c r="E33">
        <v>68</v>
      </c>
      <c r="F33" t="s">
        <v>402</v>
      </c>
      <c r="G33" s="4">
        <v>14.407266171699399</v>
      </c>
      <c r="H33" s="4">
        <v>14.1089096740013</v>
      </c>
      <c r="I33" s="4">
        <v>12.021316685292099</v>
      </c>
      <c r="J33" s="4">
        <v>9.3748862639734192</v>
      </c>
      <c r="K33" s="4">
        <v>10.6630771662991</v>
      </c>
      <c r="L33" s="4">
        <v>13.131969429701901</v>
      </c>
      <c r="M33" s="4">
        <v>12.684382830948699</v>
      </c>
      <c r="N33" s="4">
        <v>13.2818816152268</v>
      </c>
      <c r="O33" s="4">
        <v>10.348684921123599</v>
      </c>
      <c r="P33" s="4">
        <v>10.5639408892239</v>
      </c>
      <c r="Q33" s="4">
        <v>15.186368704465201</v>
      </c>
      <c r="R33" s="4">
        <v>13.877231842641599</v>
      </c>
      <c r="S33" s="4">
        <v>11.3769762948289</v>
      </c>
      <c r="T33" s="4">
        <v>12.022482746909899</v>
      </c>
      <c r="U33" s="4">
        <v>12.460042928469401</v>
      </c>
      <c r="V33" s="4">
        <v>14.8307455740587</v>
      </c>
      <c r="W33" s="4">
        <v>11.5688670567044</v>
      </c>
      <c r="X33" s="4">
        <v>13.4758452110308</v>
      </c>
      <c r="Y33" s="4">
        <v>10.1429946548187</v>
      </c>
      <c r="Z33" s="4">
        <v>14.140920511249799</v>
      </c>
      <c r="AA33" s="4">
        <v>12.9225265848305</v>
      </c>
      <c r="AB33" s="4">
        <v>18.123927018228901</v>
      </c>
      <c r="AC33" s="4">
        <v>10.717925137011401</v>
      </c>
      <c r="AD33" s="4">
        <v>14.2595816924962</v>
      </c>
      <c r="AE33">
        <v>1.86782</v>
      </c>
      <c r="AF33">
        <v>5.24078</v>
      </c>
      <c r="AG33">
        <v>6.4181699999999999</v>
      </c>
      <c r="AH33" t="s">
        <v>169</v>
      </c>
      <c r="AI33">
        <v>6.1892699999999996</v>
      </c>
      <c r="AJ33">
        <v>6.5002199999999997</v>
      </c>
      <c r="AK33">
        <v>0.29338999999999998</v>
      </c>
      <c r="AL33">
        <v>10.696630000000001</v>
      </c>
      <c r="AM33">
        <v>13.74762</v>
      </c>
      <c r="AN33">
        <v>2.71699</v>
      </c>
      <c r="AO33">
        <v>0.87297000000000002</v>
      </c>
      <c r="AP33">
        <v>6.0529400000000004</v>
      </c>
      <c r="AQ33">
        <v>-0.30159000000000002</v>
      </c>
      <c r="AR33">
        <v>-1.15781</v>
      </c>
      <c r="AS33">
        <v>-1.7205299999999999</v>
      </c>
      <c r="AT33">
        <v>8.4002999999999997</v>
      </c>
      <c r="AU33">
        <v>1.0426599999999999</v>
      </c>
      <c r="AV33">
        <v>4.4299099999999996</v>
      </c>
      <c r="AW33">
        <v>-0.70670999999999995</v>
      </c>
      <c r="AX33">
        <v>-0.94676000000000005</v>
      </c>
      <c r="AY33">
        <v>8.1213099999999994</v>
      </c>
      <c r="AZ33">
        <v>6.70357</v>
      </c>
      <c r="BA33">
        <v>2.6945600000000001</v>
      </c>
      <c r="BB33">
        <v>11.539260000000001</v>
      </c>
      <c r="BC33" s="4">
        <f>Y33-Q33</f>
        <v>-5.0433740496465003</v>
      </c>
      <c r="BD33">
        <f t="shared" si="0"/>
        <v>3.9703900000000001</v>
      </c>
    </row>
    <row r="34" spans="1:56" x14ac:dyDescent="0.35">
      <c r="A34" t="s">
        <v>182</v>
      </c>
      <c r="B34" t="s">
        <v>183</v>
      </c>
      <c r="C34" t="s">
        <v>184</v>
      </c>
      <c r="D34" t="s">
        <v>54</v>
      </c>
      <c r="E34">
        <v>25</v>
      </c>
      <c r="F34" t="s">
        <v>401</v>
      </c>
      <c r="G34" s="4">
        <v>14.9760376962638</v>
      </c>
      <c r="H34" s="4">
        <v>14.2491913851834</v>
      </c>
      <c r="I34" s="4">
        <v>13.1027213859392</v>
      </c>
      <c r="J34" s="4">
        <v>9.2574331522399795</v>
      </c>
      <c r="K34" s="4">
        <v>11.2769885683881</v>
      </c>
      <c r="L34" s="4">
        <v>13.092361246724799</v>
      </c>
      <c r="M34" s="4">
        <v>12.6865452639735</v>
      </c>
      <c r="N34" s="4">
        <v>14.0330726836628</v>
      </c>
      <c r="O34" s="4">
        <v>9.6136044186458491</v>
      </c>
      <c r="P34" s="4">
        <v>11.254303836608599</v>
      </c>
      <c r="Q34" s="4">
        <v>12.2395247192661</v>
      </c>
      <c r="R34" s="4">
        <v>13.6563033967288</v>
      </c>
      <c r="S34" s="4">
        <v>12.5370240013133</v>
      </c>
      <c r="T34" s="4">
        <v>11.9661092365054</v>
      </c>
      <c r="U34" s="4">
        <v>14.43489595032</v>
      </c>
      <c r="V34" s="4">
        <v>14.2876659664795</v>
      </c>
      <c r="W34" s="4">
        <v>14.6745145960643</v>
      </c>
      <c r="X34" s="4">
        <v>13.792843010668699</v>
      </c>
      <c r="Y34" s="4">
        <v>8.1411915559870494</v>
      </c>
      <c r="Z34" s="4">
        <v>13.077134909663201</v>
      </c>
      <c r="AA34" s="4">
        <v>13.8315513085128</v>
      </c>
      <c r="AB34" s="4">
        <v>16.611727553734699</v>
      </c>
      <c r="AC34" s="4">
        <v>11.3277604178878</v>
      </c>
      <c r="AD34" s="4">
        <v>14.7125140249279</v>
      </c>
      <c r="AE34">
        <v>1.8461399999999999</v>
      </c>
      <c r="AF34">
        <v>4.6573700000000002</v>
      </c>
      <c r="AG34">
        <v>6.2028999999999996</v>
      </c>
      <c r="AH34" t="s">
        <v>185</v>
      </c>
      <c r="AI34">
        <v>6.4194199999999997</v>
      </c>
      <c r="AJ34">
        <v>6.9602700000000004</v>
      </c>
      <c r="AK34">
        <v>1.08192</v>
      </c>
      <c r="AL34">
        <v>11.08517</v>
      </c>
      <c r="AM34">
        <v>13.64063</v>
      </c>
      <c r="AN34">
        <v>2.57836</v>
      </c>
      <c r="AO34">
        <v>1.9150199999999999</v>
      </c>
      <c r="AP34">
        <v>6.4595000000000002</v>
      </c>
      <c r="AQ34">
        <v>-0.28631000000000001</v>
      </c>
      <c r="AR34">
        <v>0.79369999999999996</v>
      </c>
      <c r="AS34">
        <v>-1.3248500000000001</v>
      </c>
      <c r="AT34">
        <v>2.2407900000000001</v>
      </c>
      <c r="AU34">
        <v>0.34339999999999998</v>
      </c>
      <c r="AV34">
        <v>1.9975499999999999</v>
      </c>
      <c r="AW34">
        <v>-1.4583999999999999</v>
      </c>
      <c r="AX34">
        <v>0.15575</v>
      </c>
      <c r="AY34">
        <v>8.7224799999999991</v>
      </c>
      <c r="AZ34">
        <v>5.3674999999999997</v>
      </c>
      <c r="BA34">
        <v>3.2510599999999998</v>
      </c>
      <c r="BB34">
        <v>11.36037</v>
      </c>
      <c r="BC34" s="4">
        <f>Y34-Q34</f>
        <v>-4.098333163279051</v>
      </c>
      <c r="BD34">
        <f t="shared" si="0"/>
        <v>0.24324000000000012</v>
      </c>
    </row>
    <row r="35" spans="1:56" x14ac:dyDescent="0.35">
      <c r="A35" t="s">
        <v>198</v>
      </c>
      <c r="B35" t="s">
        <v>199</v>
      </c>
      <c r="C35" t="s">
        <v>200</v>
      </c>
      <c r="D35" t="s">
        <v>54</v>
      </c>
      <c r="E35">
        <v>54</v>
      </c>
      <c r="F35" t="s">
        <v>401</v>
      </c>
      <c r="G35" s="4">
        <v>13.962758056686299</v>
      </c>
      <c r="H35" s="4">
        <v>13.2511182872109</v>
      </c>
      <c r="I35" s="4">
        <v>12.663374729855599</v>
      </c>
      <c r="J35" s="4">
        <v>9.3691490368212094</v>
      </c>
      <c r="K35" s="4">
        <v>10.5110845393746</v>
      </c>
      <c r="L35" s="4">
        <v>12.8675134646624</v>
      </c>
      <c r="M35" s="4">
        <v>12.6967008191098</v>
      </c>
      <c r="N35" s="4">
        <v>12.5734079863019</v>
      </c>
      <c r="O35" s="4">
        <v>9.6576056000460806</v>
      </c>
      <c r="P35" s="4">
        <v>11.0851242411799</v>
      </c>
      <c r="Q35" s="4">
        <v>14.344407455596899</v>
      </c>
      <c r="R35" s="4">
        <v>14.699488260787399</v>
      </c>
      <c r="S35" s="4">
        <v>15.327031866520899</v>
      </c>
      <c r="T35" s="4">
        <v>11.5120702646686</v>
      </c>
      <c r="U35" s="4">
        <v>15.1246353025892</v>
      </c>
      <c r="V35" s="4">
        <v>13.438970910596799</v>
      </c>
      <c r="W35" s="4">
        <v>12.674017533625801</v>
      </c>
      <c r="X35" s="4">
        <v>15.232284284573501</v>
      </c>
      <c r="Y35" s="4">
        <v>15.1343876679648</v>
      </c>
      <c r="Z35" s="4">
        <v>13.4543175966439</v>
      </c>
      <c r="AA35" s="4">
        <v>13.9868693675253</v>
      </c>
      <c r="AB35" s="4">
        <v>18.0365512275709</v>
      </c>
      <c r="AC35" s="4">
        <v>11.0126488956376</v>
      </c>
      <c r="AD35" s="4">
        <v>14.9605970219416</v>
      </c>
      <c r="AE35">
        <v>1.78776</v>
      </c>
      <c r="AF35">
        <v>5.2615400000000001</v>
      </c>
      <c r="AG35">
        <v>6.0479500000000002</v>
      </c>
      <c r="AH35" t="s">
        <v>201</v>
      </c>
      <c r="AI35">
        <v>5.2300399999999998</v>
      </c>
      <c r="AJ35">
        <v>5.9531299999999998</v>
      </c>
      <c r="AK35">
        <v>0.20557</v>
      </c>
      <c r="AL35">
        <v>11.184990000000001</v>
      </c>
      <c r="AM35">
        <v>12.70693</v>
      </c>
      <c r="AN35">
        <v>2.1638199999999999</v>
      </c>
      <c r="AO35">
        <v>1.0226900000000001</v>
      </c>
      <c r="AP35">
        <v>6.1044499999999999</v>
      </c>
      <c r="AQ35">
        <v>4.138E-2</v>
      </c>
      <c r="AR35">
        <v>-0.90978999999999999</v>
      </c>
      <c r="AS35">
        <v>-0.95365</v>
      </c>
      <c r="AT35">
        <v>9.5983900000000002</v>
      </c>
      <c r="AU35">
        <v>0.94506000000000001</v>
      </c>
      <c r="AV35">
        <v>3.7158799999999998</v>
      </c>
      <c r="AW35">
        <v>-1.0582199999999999</v>
      </c>
      <c r="AX35">
        <v>2.5327500000000001</v>
      </c>
      <c r="AY35">
        <v>8.9460899999999999</v>
      </c>
      <c r="AZ35">
        <v>5.7403399999999998</v>
      </c>
      <c r="BA35">
        <v>2.9450599999999998</v>
      </c>
      <c r="BB35">
        <v>12.51141</v>
      </c>
      <c r="BC35" s="4">
        <f>Y35-Q35</f>
        <v>0.78998021236790095</v>
      </c>
      <c r="BD35">
        <f t="shared" si="0"/>
        <v>5.8825099999999999</v>
      </c>
    </row>
    <row r="36" spans="1:56" x14ac:dyDescent="0.35">
      <c r="A36" t="s">
        <v>210</v>
      </c>
      <c r="B36" t="s">
        <v>211</v>
      </c>
      <c r="C36" t="s">
        <v>212</v>
      </c>
      <c r="D36" t="s">
        <v>54</v>
      </c>
      <c r="E36">
        <v>23</v>
      </c>
      <c r="F36" t="s">
        <v>401</v>
      </c>
      <c r="G36" s="4">
        <v>14.3418116617138</v>
      </c>
      <c r="H36" s="4">
        <v>13.2050787699118</v>
      </c>
      <c r="I36" s="4">
        <v>13.943113857585301</v>
      </c>
      <c r="J36" s="4">
        <v>9.8913045687651699</v>
      </c>
      <c r="K36" s="4">
        <v>12.425164144632101</v>
      </c>
      <c r="L36" s="4">
        <v>13.661184612024501</v>
      </c>
      <c r="M36" s="4">
        <v>13.0043820062289</v>
      </c>
      <c r="N36" s="4">
        <v>13.691604215872999</v>
      </c>
      <c r="O36" s="4">
        <v>9.8529772278162309</v>
      </c>
      <c r="P36" s="4">
        <v>13.517826507946101</v>
      </c>
      <c r="Q36" s="4">
        <v>13.676948957513201</v>
      </c>
      <c r="R36" s="4">
        <v>14.3905236584551</v>
      </c>
      <c r="S36" s="4">
        <v>13.6904312224198</v>
      </c>
      <c r="T36" s="4">
        <v>11.0319006852623</v>
      </c>
      <c r="U36" s="4">
        <v>14.306664664655299</v>
      </c>
      <c r="V36" s="4">
        <v>16.0200680956473</v>
      </c>
      <c r="W36" s="4">
        <v>13.5217525223952</v>
      </c>
      <c r="X36" s="4">
        <v>15.7189696743264</v>
      </c>
      <c r="Y36" s="4">
        <v>12.2549863757858</v>
      </c>
      <c r="Z36" s="4">
        <v>13.381308835047999</v>
      </c>
      <c r="AA36" s="4">
        <v>13.8028009542695</v>
      </c>
      <c r="AB36" s="4">
        <v>15.5327084643022</v>
      </c>
      <c r="AC36" s="4">
        <v>11.5877282031952</v>
      </c>
      <c r="AD36" s="4">
        <v>15.0720907850282</v>
      </c>
      <c r="AE36">
        <v>1.9770399999999999</v>
      </c>
      <c r="AF36">
        <v>6.1781199999999998</v>
      </c>
      <c r="AG36">
        <v>8.0040099999999992</v>
      </c>
      <c r="AH36" t="s">
        <v>213</v>
      </c>
      <c r="AI36">
        <v>6.9560500000000003</v>
      </c>
      <c r="AJ36">
        <v>7.0734000000000004</v>
      </c>
      <c r="AK36">
        <v>1.93994</v>
      </c>
      <c r="AL36">
        <v>12.35341</v>
      </c>
      <c r="AM36">
        <v>12.7841</v>
      </c>
      <c r="AN36">
        <v>3.9470399999999999</v>
      </c>
      <c r="AO36">
        <v>1.63269</v>
      </c>
      <c r="AP36">
        <v>8.9601100000000002</v>
      </c>
      <c r="AQ36">
        <v>0.25879999999999997</v>
      </c>
      <c r="AR36">
        <v>0.55361000000000005</v>
      </c>
      <c r="AS36">
        <v>-0.48183999999999999</v>
      </c>
      <c r="AT36">
        <v>6.6305100000000001</v>
      </c>
      <c r="AU36">
        <v>0.94460999999999995</v>
      </c>
      <c r="AV36">
        <v>3.62466</v>
      </c>
      <c r="AW36">
        <v>-0.87529000000000001</v>
      </c>
      <c r="AX36">
        <v>0.91771999999999998</v>
      </c>
      <c r="AY36">
        <v>8.9051899999999993</v>
      </c>
      <c r="AZ36">
        <v>4.5197399999999996</v>
      </c>
      <c r="BA36">
        <v>3.6652100000000001</v>
      </c>
      <c r="BB36">
        <v>12.387</v>
      </c>
      <c r="BC36" s="4">
        <f>Y36-Q36</f>
        <v>-1.4219625817274011</v>
      </c>
      <c r="BD36">
        <f t="shared" si="0"/>
        <v>3.0058500000000001</v>
      </c>
    </row>
    <row r="37" spans="1:56" x14ac:dyDescent="0.35">
      <c r="A37" t="s">
        <v>218</v>
      </c>
      <c r="B37" t="s">
        <v>219</v>
      </c>
      <c r="C37" t="s">
        <v>220</v>
      </c>
      <c r="D37" t="s">
        <v>54</v>
      </c>
      <c r="E37">
        <v>69</v>
      </c>
      <c r="F37" t="s">
        <v>401</v>
      </c>
      <c r="G37" s="4">
        <v>14.2210990535016</v>
      </c>
      <c r="H37" s="4">
        <v>13.981108675681099</v>
      </c>
      <c r="I37" s="4">
        <v>12.026785036724799</v>
      </c>
      <c r="J37" s="4">
        <v>9.50468026224139</v>
      </c>
      <c r="K37" s="4">
        <v>11.4356232795183</v>
      </c>
      <c r="L37" s="4">
        <v>12.900401400781201</v>
      </c>
      <c r="M37" s="4">
        <v>13.398033297160101</v>
      </c>
      <c r="N37" s="4">
        <v>12.7978145759732</v>
      </c>
      <c r="O37" s="4">
        <v>9.3471143460360899</v>
      </c>
      <c r="P37" s="4">
        <v>8.8373175313191794</v>
      </c>
      <c r="Q37" s="4">
        <v>14.5645299070564</v>
      </c>
      <c r="R37" s="4">
        <v>8.9169830527906502</v>
      </c>
      <c r="S37" s="4">
        <v>13.767315422883801</v>
      </c>
      <c r="T37" s="4">
        <v>11.766827087811199</v>
      </c>
      <c r="U37" s="4">
        <v>12.6944094612124</v>
      </c>
      <c r="V37" s="4">
        <v>15.0194842404181</v>
      </c>
      <c r="W37" s="4">
        <v>10.2825496489904</v>
      </c>
      <c r="X37" s="4">
        <v>13.437196087630101</v>
      </c>
      <c r="Y37" s="4">
        <v>12.299189010790499</v>
      </c>
      <c r="Z37" s="4">
        <v>15.53615263555</v>
      </c>
      <c r="AA37" s="4">
        <v>13.821006477102401</v>
      </c>
      <c r="AB37" s="4">
        <v>18.172453485485601</v>
      </c>
      <c r="AC37" s="4">
        <v>11.1789227730667</v>
      </c>
      <c r="AD37" s="4">
        <v>15.38427490203</v>
      </c>
      <c r="AE37">
        <v>1.7513000000000001</v>
      </c>
      <c r="AF37">
        <v>5.4861700000000004</v>
      </c>
      <c r="AG37">
        <v>6.9012500000000001</v>
      </c>
      <c r="AH37" t="s">
        <v>221</v>
      </c>
      <c r="AI37">
        <v>6.2111700000000001</v>
      </c>
      <c r="AJ37">
        <v>5.8635999999999999</v>
      </c>
      <c r="AK37">
        <v>0.54112000000000005</v>
      </c>
      <c r="AL37">
        <v>10.977729999999999</v>
      </c>
      <c r="AM37">
        <v>13.715400000000001</v>
      </c>
      <c r="AN37">
        <v>2.4868700000000001</v>
      </c>
      <c r="AO37">
        <v>1.4686699999999999</v>
      </c>
      <c r="AP37">
        <v>4.0384599999999997</v>
      </c>
      <c r="AQ37">
        <v>-0.33307999999999999</v>
      </c>
      <c r="AR37">
        <v>0.42734</v>
      </c>
      <c r="AS37">
        <v>-0.54415000000000002</v>
      </c>
      <c r="AT37">
        <v>6.7366299999999999</v>
      </c>
      <c r="AU37">
        <v>2.1805099999999999</v>
      </c>
      <c r="AV37">
        <v>4.1173700000000002</v>
      </c>
      <c r="AW37">
        <v>-1.0270300000000001</v>
      </c>
      <c r="AX37">
        <v>-0.69833000000000001</v>
      </c>
      <c r="AY37">
        <v>9.2122100000000007</v>
      </c>
      <c r="AZ37">
        <v>6.5363499999999997</v>
      </c>
      <c r="BA37">
        <v>3.63449</v>
      </c>
      <c r="BB37">
        <v>12.783250000000001</v>
      </c>
      <c r="BC37" s="4">
        <f>Y37-Q37</f>
        <v>-2.2653408962659007</v>
      </c>
      <c r="BD37">
        <f t="shared" si="0"/>
        <v>2.6192599999999997</v>
      </c>
    </row>
    <row r="38" spans="1:56" x14ac:dyDescent="0.35">
      <c r="A38" t="s">
        <v>222</v>
      </c>
      <c r="B38" t="s">
        <v>223</v>
      </c>
      <c r="C38" t="s">
        <v>224</v>
      </c>
      <c r="D38" t="s">
        <v>54</v>
      </c>
      <c r="E38">
        <v>46</v>
      </c>
      <c r="F38" t="s">
        <v>401</v>
      </c>
      <c r="G38" s="4">
        <v>14.1744474084696</v>
      </c>
      <c r="H38" s="4">
        <v>13.407196827774101</v>
      </c>
      <c r="I38" s="4">
        <v>13.6891581932612</v>
      </c>
      <c r="J38" s="4">
        <v>10.0683738720004</v>
      </c>
      <c r="K38" s="4">
        <v>11.0014708744191</v>
      </c>
      <c r="L38" s="4">
        <v>13.129887032207399</v>
      </c>
      <c r="M38" s="4">
        <v>12.5443241813137</v>
      </c>
      <c r="N38" s="4">
        <v>13.320212100406</v>
      </c>
      <c r="O38" s="4">
        <v>9.7435686225548892</v>
      </c>
      <c r="P38" s="4">
        <v>11.7208579814031</v>
      </c>
      <c r="Q38" s="4">
        <v>13.535418059054701</v>
      </c>
      <c r="R38" s="4">
        <v>13.7655314949376</v>
      </c>
      <c r="S38" s="4">
        <v>12.2311974554068</v>
      </c>
      <c r="T38" s="4">
        <v>10.900284643255899</v>
      </c>
      <c r="U38" s="4">
        <v>13.4595200302576</v>
      </c>
      <c r="V38" s="4">
        <v>14.9096944341428</v>
      </c>
      <c r="W38" s="4">
        <v>13.051085796370099</v>
      </c>
      <c r="X38" s="4">
        <v>14.628675920893301</v>
      </c>
      <c r="Y38" s="4">
        <v>11.3459418439079</v>
      </c>
      <c r="Z38" s="4">
        <v>13.8888563824013</v>
      </c>
      <c r="AA38" s="4">
        <v>13.201801604321499</v>
      </c>
      <c r="AB38" s="4">
        <v>16.571366381574801</v>
      </c>
      <c r="AC38" s="4">
        <v>11.4343341218141</v>
      </c>
      <c r="AD38" s="4">
        <v>15.036336701835101</v>
      </c>
      <c r="AE38">
        <v>1.9252100000000001</v>
      </c>
      <c r="AF38">
        <v>6.0314899999999998</v>
      </c>
      <c r="AG38">
        <v>6.7830199999999996</v>
      </c>
      <c r="AH38" t="s">
        <v>225</v>
      </c>
      <c r="AI38">
        <v>6.03932</v>
      </c>
      <c r="AJ38">
        <v>6.3980699999999997</v>
      </c>
      <c r="AK38">
        <v>0.81379999999999997</v>
      </c>
      <c r="AL38">
        <v>12.0182</v>
      </c>
      <c r="AM38">
        <v>13.06415</v>
      </c>
      <c r="AN38">
        <v>2.8525499999999999</v>
      </c>
      <c r="AO38">
        <v>1.41391</v>
      </c>
      <c r="AP38">
        <v>7.1797700000000004</v>
      </c>
      <c r="AQ38">
        <v>-4.3189999999999999E-2</v>
      </c>
      <c r="AR38">
        <v>1.02444</v>
      </c>
      <c r="AS38">
        <v>1.7393400000000001</v>
      </c>
      <c r="AT38">
        <v>6.1056299999999997</v>
      </c>
      <c r="AU38">
        <v>1.18123</v>
      </c>
      <c r="AV38">
        <v>3.2883499999999999</v>
      </c>
      <c r="AW38">
        <v>-0.82538999999999996</v>
      </c>
      <c r="AX38">
        <v>9.3609999999999999E-2</v>
      </c>
      <c r="AY38">
        <v>9.5735299999999999</v>
      </c>
      <c r="AZ38">
        <v>5.64628</v>
      </c>
      <c r="BA38">
        <v>3.7290100000000002</v>
      </c>
      <c r="BB38">
        <v>12.51986</v>
      </c>
      <c r="BC38" s="4">
        <f>Y38-Q38</f>
        <v>-2.1894762151468008</v>
      </c>
      <c r="BD38">
        <f t="shared" si="0"/>
        <v>2.8172799999999998</v>
      </c>
    </row>
    <row r="39" spans="1:56" x14ac:dyDescent="0.35">
      <c r="A39" t="s">
        <v>278</v>
      </c>
      <c r="B39" t="s">
        <v>279</v>
      </c>
      <c r="C39" t="s">
        <v>280</v>
      </c>
      <c r="D39" t="s">
        <v>54</v>
      </c>
      <c r="E39">
        <v>69</v>
      </c>
      <c r="F39" t="s">
        <v>401</v>
      </c>
      <c r="G39" s="4">
        <v>15.0785631580149</v>
      </c>
      <c r="H39" s="4">
        <v>14.0906727359692</v>
      </c>
      <c r="I39" s="4">
        <v>13.1145285991885</v>
      </c>
      <c r="J39" s="4">
        <v>9.3738203680537104</v>
      </c>
      <c r="K39" s="4">
        <v>9.4028686827408592</v>
      </c>
      <c r="L39" s="4">
        <v>12.99566577543</v>
      </c>
      <c r="M39" s="4">
        <v>11.792701026690001</v>
      </c>
      <c r="N39" s="4">
        <v>13.720231023510401</v>
      </c>
      <c r="O39" s="4">
        <v>9.7089414079131693</v>
      </c>
      <c r="P39" s="4">
        <v>11.0566961070795</v>
      </c>
      <c r="Q39" s="4">
        <v>12.4157671310304</v>
      </c>
      <c r="R39" s="4">
        <v>14.150606407971701</v>
      </c>
      <c r="S39" s="4">
        <v>12.217328294423201</v>
      </c>
      <c r="T39" s="4">
        <v>11.2910391294688</v>
      </c>
      <c r="U39" s="4">
        <v>13.383687871943801</v>
      </c>
      <c r="V39" s="4">
        <v>14.8959886372394</v>
      </c>
      <c r="W39" s="4">
        <v>13.167237730272101</v>
      </c>
      <c r="X39" s="4">
        <v>14.139861580181799</v>
      </c>
      <c r="Y39" s="4">
        <v>12.115238108324</v>
      </c>
      <c r="Z39" s="4">
        <v>12.501095534590901</v>
      </c>
      <c r="AA39" s="4">
        <v>13.9485221152891</v>
      </c>
      <c r="AB39" s="4">
        <v>14.106834105615601</v>
      </c>
      <c r="AC39" s="4">
        <v>10.7521375578759</v>
      </c>
      <c r="AD39" s="4">
        <v>14.615604742545401</v>
      </c>
      <c r="AE39">
        <v>1.9395199999999999</v>
      </c>
      <c r="AF39">
        <v>4.8976600000000001</v>
      </c>
      <c r="AG39">
        <v>6.1582299999999996</v>
      </c>
      <c r="AH39" t="s">
        <v>281</v>
      </c>
      <c r="AI39">
        <v>7.2566499999999996</v>
      </c>
      <c r="AJ39">
        <v>7.4807399999999999</v>
      </c>
      <c r="AK39">
        <v>0.81982999999999995</v>
      </c>
      <c r="AL39">
        <v>11.613429999999999</v>
      </c>
      <c r="AM39">
        <v>14.07023</v>
      </c>
      <c r="AN39">
        <v>2.9235099999999998</v>
      </c>
      <c r="AO39">
        <v>2.0603699999999998</v>
      </c>
      <c r="AP39">
        <v>6.5068400000000004</v>
      </c>
      <c r="AQ39">
        <v>-0.17168</v>
      </c>
      <c r="AR39">
        <v>-0.66474</v>
      </c>
      <c r="AS39">
        <v>-0.99675999999999998</v>
      </c>
      <c r="AT39">
        <v>6.6697899999999999</v>
      </c>
      <c r="AU39">
        <v>0.86829999999999996</v>
      </c>
      <c r="AV39">
        <v>2.6354799999999998</v>
      </c>
      <c r="AW39">
        <v>-0.79525999999999997</v>
      </c>
      <c r="AX39">
        <v>-0.29520999999999997</v>
      </c>
      <c r="AY39">
        <v>9.1858500000000003</v>
      </c>
      <c r="AZ39">
        <v>2.71055</v>
      </c>
      <c r="BA39">
        <v>3.2103199999999998</v>
      </c>
      <c r="BB39">
        <v>12.244109999999999</v>
      </c>
      <c r="BC39" s="4">
        <f>Y39-Q39</f>
        <v>-0.30052902270639947</v>
      </c>
      <c r="BD39">
        <f t="shared" si="0"/>
        <v>4.0343099999999996</v>
      </c>
    </row>
    <row r="40" spans="1:56" x14ac:dyDescent="0.35">
      <c r="A40" t="s">
        <v>286</v>
      </c>
      <c r="B40" t="s">
        <v>287</v>
      </c>
      <c r="C40" t="s">
        <v>288</v>
      </c>
      <c r="D40" t="s">
        <v>54</v>
      </c>
      <c r="E40">
        <v>23</v>
      </c>
      <c r="F40" t="s">
        <v>401</v>
      </c>
      <c r="G40" s="4">
        <v>14.4673106748712</v>
      </c>
      <c r="H40" s="4">
        <v>12.624190458701101</v>
      </c>
      <c r="I40" s="4">
        <v>12.864511839177201</v>
      </c>
      <c r="J40" s="4">
        <v>9.7156945959517902</v>
      </c>
      <c r="K40" s="4">
        <v>11.750132797967</v>
      </c>
      <c r="L40" s="4">
        <v>13.8439962232792</v>
      </c>
      <c r="M40" s="4">
        <v>10.467183486648</v>
      </c>
      <c r="N40" s="4">
        <v>12.578433752016601</v>
      </c>
      <c r="O40" s="4">
        <v>10.8002552374401</v>
      </c>
      <c r="P40" s="4">
        <v>11.533401607611699</v>
      </c>
      <c r="Q40" s="4">
        <v>12.6641807094258</v>
      </c>
      <c r="R40" s="4">
        <v>8.8842139040233601</v>
      </c>
      <c r="S40" s="4">
        <v>13.2104140756296</v>
      </c>
      <c r="T40" s="4">
        <v>11.1816460756427</v>
      </c>
      <c r="U40" s="4">
        <v>12.328337569977601</v>
      </c>
      <c r="V40" s="4">
        <v>16.029290299941302</v>
      </c>
      <c r="W40" s="4">
        <v>12.4885311281336</v>
      </c>
      <c r="X40" s="4">
        <v>15.7048115326741</v>
      </c>
      <c r="Y40" s="4">
        <v>11.468568963983101</v>
      </c>
      <c r="Z40" s="4">
        <v>13.224580532587</v>
      </c>
      <c r="AA40" s="4">
        <v>13.616426958736399</v>
      </c>
      <c r="AB40" s="4">
        <v>17.136515327103201</v>
      </c>
      <c r="AC40" s="4">
        <v>11.1521897748023</v>
      </c>
      <c r="AD40" s="4">
        <v>14.838145778011301</v>
      </c>
      <c r="AE40">
        <v>1.6344099999999999</v>
      </c>
      <c r="AF40">
        <v>5.8339299999999996</v>
      </c>
      <c r="AG40">
        <v>7.5363699999999998</v>
      </c>
      <c r="AH40" t="s">
        <v>289</v>
      </c>
      <c r="AI40">
        <v>5.5557600000000003</v>
      </c>
      <c r="AJ40">
        <v>6.9122700000000004</v>
      </c>
      <c r="AK40">
        <v>0.97626000000000002</v>
      </c>
      <c r="AL40">
        <v>11.598739999999999</v>
      </c>
      <c r="AM40">
        <v>12.107279999999999</v>
      </c>
      <c r="AN40">
        <v>3.3963199999999998</v>
      </c>
      <c r="AO40">
        <v>1.4793799999999999</v>
      </c>
      <c r="AP40">
        <v>6.7584900000000001</v>
      </c>
      <c r="AQ40">
        <v>-5.5799999999999999E-3</v>
      </c>
      <c r="AR40">
        <v>-9.8879999999999996E-2</v>
      </c>
      <c r="AS40">
        <v>-0.80298000000000003</v>
      </c>
      <c r="AT40">
        <v>6.1035700000000004</v>
      </c>
      <c r="AU40">
        <v>0.70930000000000004</v>
      </c>
      <c r="AV40">
        <v>2.46068</v>
      </c>
      <c r="AW40">
        <v>0.45654</v>
      </c>
      <c r="AX40">
        <v>3.6330000000000001E-2</v>
      </c>
      <c r="AY40">
        <v>8.4605399999999999</v>
      </c>
      <c r="AZ40">
        <v>5.6504599999999998</v>
      </c>
      <c r="BA40">
        <v>3.5430999999999999</v>
      </c>
      <c r="BB40">
        <v>12.483029999999999</v>
      </c>
      <c r="BC40" s="4">
        <f>Y40-Q40</f>
        <v>-1.1956117454426991</v>
      </c>
      <c r="BD40">
        <f t="shared" si="0"/>
        <v>3.6428900000000004</v>
      </c>
    </row>
    <row r="41" spans="1:56" x14ac:dyDescent="0.35">
      <c r="A41" t="s">
        <v>290</v>
      </c>
      <c r="B41" t="s">
        <v>291</v>
      </c>
      <c r="C41" t="s">
        <v>292</v>
      </c>
      <c r="D41" t="s">
        <v>54</v>
      </c>
      <c r="E41">
        <v>41</v>
      </c>
      <c r="F41" t="s">
        <v>401</v>
      </c>
      <c r="G41" s="4">
        <v>14.747024408590701</v>
      </c>
      <c r="H41" s="4">
        <v>12.9739239761447</v>
      </c>
      <c r="I41" s="4">
        <v>14.0388455895789</v>
      </c>
      <c r="J41" s="4">
        <v>10.143115502032201</v>
      </c>
      <c r="K41" s="4">
        <v>12.4080112782715</v>
      </c>
      <c r="L41" s="4">
        <v>13.8618705240594</v>
      </c>
      <c r="M41" s="4">
        <v>13.2594805079416</v>
      </c>
      <c r="N41" s="4">
        <v>12.897184656763701</v>
      </c>
      <c r="O41" s="4">
        <v>8.97189151471812</v>
      </c>
      <c r="P41" s="4">
        <v>12.0032170507472</v>
      </c>
      <c r="Q41" s="4">
        <v>14.1425046546318</v>
      </c>
      <c r="R41" s="4">
        <v>14.7871244905041</v>
      </c>
      <c r="S41" s="4">
        <v>14.083679158911</v>
      </c>
      <c r="T41" s="4">
        <v>11.256176395038899</v>
      </c>
      <c r="U41" s="4">
        <v>14.3707989166431</v>
      </c>
      <c r="V41" s="4">
        <v>15.147784338868901</v>
      </c>
      <c r="W41" s="4">
        <v>13.1617286115025</v>
      </c>
      <c r="X41" s="4">
        <v>14.2004275722364</v>
      </c>
      <c r="Y41" s="4">
        <v>12.2114086286432</v>
      </c>
      <c r="Z41" s="4">
        <v>13.1969649223606</v>
      </c>
      <c r="AA41" s="4">
        <v>13.525112753494399</v>
      </c>
      <c r="AB41" s="4">
        <v>17.467470974388299</v>
      </c>
      <c r="AC41" s="4">
        <v>11.959271892226299</v>
      </c>
      <c r="AD41" s="4">
        <v>15.510583938057</v>
      </c>
      <c r="AE41">
        <v>1.50827</v>
      </c>
      <c r="AF41">
        <v>6.0195699999999999</v>
      </c>
      <c r="AG41">
        <v>11.187139999999999</v>
      </c>
      <c r="AH41" t="s">
        <v>293</v>
      </c>
      <c r="AI41">
        <v>5.8259999999999996</v>
      </c>
      <c r="AJ41">
        <v>6.81609</v>
      </c>
      <c r="AK41">
        <v>0.49248999999999998</v>
      </c>
      <c r="AL41">
        <v>12.25891</v>
      </c>
      <c r="AM41">
        <v>12.37612</v>
      </c>
      <c r="AN41">
        <v>3.4744000000000002</v>
      </c>
      <c r="AO41">
        <v>1.0813200000000001</v>
      </c>
      <c r="AP41">
        <v>7.06996</v>
      </c>
      <c r="AQ41">
        <v>-0.23798</v>
      </c>
      <c r="AR41">
        <v>-1.48997</v>
      </c>
      <c r="AS41">
        <v>-1.4913099999999999</v>
      </c>
      <c r="AT41">
        <v>6.6081200000000004</v>
      </c>
      <c r="AU41">
        <v>0.43692999999999999</v>
      </c>
      <c r="AV41">
        <v>3.3582100000000001</v>
      </c>
      <c r="AW41">
        <v>-1.0959999999999999E-2</v>
      </c>
      <c r="AX41">
        <v>0.48786000000000002</v>
      </c>
      <c r="AY41">
        <v>9.0611200000000007</v>
      </c>
      <c r="AZ41">
        <v>5.4624300000000003</v>
      </c>
      <c r="BA41">
        <v>3.5490400000000002</v>
      </c>
      <c r="BB41">
        <v>12.802160000000001</v>
      </c>
      <c r="BC41" s="4">
        <f>Y41-Q41</f>
        <v>-1.9310960259885999</v>
      </c>
      <c r="BD41">
        <f t="shared" si="0"/>
        <v>3.2499100000000003</v>
      </c>
    </row>
    <row r="42" spans="1:56" x14ac:dyDescent="0.35">
      <c r="A42" t="s">
        <v>294</v>
      </c>
      <c r="B42" t="s">
        <v>295</v>
      </c>
      <c r="C42" t="s">
        <v>296</v>
      </c>
      <c r="D42" t="s">
        <v>54</v>
      </c>
      <c r="E42">
        <v>37</v>
      </c>
      <c r="F42" t="s">
        <v>402</v>
      </c>
      <c r="G42" s="4">
        <v>14.646528221031099</v>
      </c>
      <c r="H42" s="4">
        <v>15.6073486190034</v>
      </c>
      <c r="I42" s="4">
        <v>14.6898788427957</v>
      </c>
      <c r="J42" s="4">
        <v>9.5840314129996909</v>
      </c>
      <c r="K42" s="4">
        <v>13.001882583057</v>
      </c>
      <c r="L42" s="4">
        <v>13.045215060647299</v>
      </c>
      <c r="M42" s="4">
        <v>14.1564754081516</v>
      </c>
      <c r="N42" s="4">
        <v>13.0275410447812</v>
      </c>
      <c r="O42" s="4">
        <v>9.6312267630354107</v>
      </c>
      <c r="P42" s="4">
        <v>11.6020844199543</v>
      </c>
      <c r="Q42" s="4">
        <v>11.2115609727852</v>
      </c>
      <c r="R42" s="4">
        <v>13.8436250631728</v>
      </c>
      <c r="S42" s="4">
        <v>12.159108047183199</v>
      </c>
      <c r="T42" s="4">
        <v>11.789906912568499</v>
      </c>
      <c r="U42" s="4">
        <v>14.349658257528001</v>
      </c>
      <c r="V42" s="4">
        <v>14.033494670268199</v>
      </c>
      <c r="W42" s="4">
        <v>14.915289507759899</v>
      </c>
      <c r="X42" s="4">
        <v>14.2284010009743</v>
      </c>
      <c r="Y42" s="4">
        <v>10.411184120255101</v>
      </c>
      <c r="Z42" s="4">
        <v>14.401542453753301</v>
      </c>
      <c r="AA42" s="4">
        <v>13.49676499519</v>
      </c>
      <c r="AB42" s="4">
        <v>16.7006121384902</v>
      </c>
      <c r="AC42" s="4">
        <v>11.1007512972736</v>
      </c>
      <c r="AD42" s="4">
        <v>14.4861035626147</v>
      </c>
      <c r="AE42">
        <v>1.7949600000000001</v>
      </c>
      <c r="AF42">
        <v>5.7327500000000002</v>
      </c>
      <c r="AG42">
        <v>7.14025</v>
      </c>
      <c r="AH42" t="s">
        <v>297</v>
      </c>
      <c r="AI42">
        <v>6.3344899999999997</v>
      </c>
      <c r="AJ42">
        <v>7.2782400000000003</v>
      </c>
      <c r="AK42">
        <v>1.38496</v>
      </c>
      <c r="AL42">
        <v>12.82429</v>
      </c>
      <c r="AM42">
        <v>15.47386</v>
      </c>
      <c r="AN42">
        <v>2.85134</v>
      </c>
      <c r="AO42">
        <v>1.36374</v>
      </c>
      <c r="AP42">
        <v>6.8163099999999996</v>
      </c>
      <c r="AQ42">
        <v>0.33396999999999999</v>
      </c>
      <c r="AR42">
        <v>-0.31685000000000002</v>
      </c>
      <c r="AS42">
        <v>-0.76405000000000001</v>
      </c>
      <c r="AT42">
        <v>4.6481300000000001</v>
      </c>
      <c r="AU42">
        <v>1.4597599999999999</v>
      </c>
      <c r="AV42">
        <v>1.35347</v>
      </c>
      <c r="AW42">
        <v>-1.1231199999999999</v>
      </c>
      <c r="AX42">
        <v>-0.30064999999999997</v>
      </c>
      <c r="AY42">
        <v>9.4237900000000003</v>
      </c>
      <c r="AZ42">
        <v>6.0808299999999997</v>
      </c>
      <c r="BA42">
        <v>3.6013700000000002</v>
      </c>
      <c r="BB42">
        <v>11.99944</v>
      </c>
      <c r="BC42" s="4">
        <f>Y42-Q42</f>
        <v>-0.80037685253009982</v>
      </c>
      <c r="BD42">
        <f t="shared" si="0"/>
        <v>3.2946600000000004</v>
      </c>
    </row>
    <row r="43" spans="1:56" x14ac:dyDescent="0.35">
      <c r="A43" t="s">
        <v>306</v>
      </c>
      <c r="B43" t="s">
        <v>307</v>
      </c>
      <c r="C43" t="s">
        <v>308</v>
      </c>
      <c r="D43" t="s">
        <v>54</v>
      </c>
      <c r="E43">
        <v>53</v>
      </c>
      <c r="F43" t="s">
        <v>401</v>
      </c>
      <c r="G43" s="4">
        <v>15.2422159608453</v>
      </c>
      <c r="H43" s="4">
        <v>14.3704641515871</v>
      </c>
      <c r="I43" s="4">
        <v>14.0028649524588</v>
      </c>
      <c r="J43" s="4">
        <v>10.470019704836201</v>
      </c>
      <c r="K43" s="4">
        <v>12.150102911534001</v>
      </c>
      <c r="L43" s="4">
        <v>13.939676639362601</v>
      </c>
      <c r="M43" s="4">
        <v>12.9709124889345</v>
      </c>
      <c r="N43" s="4">
        <v>13.351685588547101</v>
      </c>
      <c r="O43" s="4">
        <v>11.964813574675199</v>
      </c>
      <c r="P43" s="4">
        <v>10.679486530697901</v>
      </c>
      <c r="Q43" s="4">
        <v>13.076048291543101</v>
      </c>
      <c r="R43" s="4">
        <v>15.3851284829743</v>
      </c>
      <c r="S43" s="4">
        <v>16.0999258511468</v>
      </c>
      <c r="T43" s="4">
        <v>12.2255706962058</v>
      </c>
      <c r="U43" s="4">
        <v>14.1192452422929</v>
      </c>
      <c r="V43" s="4">
        <v>14.7596444706017</v>
      </c>
      <c r="W43" s="4">
        <v>13.0458951706556</v>
      </c>
      <c r="X43" s="4">
        <v>14.8120632971111</v>
      </c>
      <c r="Y43" s="4">
        <v>9.0689438092057202</v>
      </c>
      <c r="Z43" s="4">
        <v>14.216244263124601</v>
      </c>
      <c r="AA43" s="4">
        <v>13.758699367293501</v>
      </c>
      <c r="AB43" s="4">
        <v>15.080264901745901</v>
      </c>
      <c r="AC43" s="4">
        <v>11.865750685127299</v>
      </c>
      <c r="AD43" s="4">
        <v>15.377197334969299</v>
      </c>
      <c r="AE43">
        <v>1.6611800000000001</v>
      </c>
      <c r="AF43">
        <v>6.4360400000000002</v>
      </c>
      <c r="AG43">
        <v>7.5696500000000002</v>
      </c>
      <c r="AH43" t="s">
        <v>309</v>
      </c>
      <c r="AI43">
        <v>6.3595800000000002</v>
      </c>
      <c r="AJ43">
        <v>7.47323</v>
      </c>
      <c r="AK43">
        <v>0.85228999999999999</v>
      </c>
      <c r="AL43">
        <v>12.18675</v>
      </c>
      <c r="AM43">
        <v>13.991199999999999</v>
      </c>
      <c r="AN43">
        <v>4.0103999999999997</v>
      </c>
      <c r="AO43">
        <v>1.9487000000000001</v>
      </c>
      <c r="AP43">
        <v>6.00814</v>
      </c>
      <c r="AQ43">
        <v>4.7820000000000001E-2</v>
      </c>
      <c r="AR43">
        <v>-1.53721</v>
      </c>
      <c r="AS43">
        <v>8.3290799999999994</v>
      </c>
      <c r="AT43">
        <v>3.4550999999999998</v>
      </c>
      <c r="AU43">
        <v>1.23156</v>
      </c>
      <c r="AV43">
        <v>2.4510000000000001</v>
      </c>
      <c r="AW43">
        <v>-0.91507000000000005</v>
      </c>
      <c r="AX43">
        <v>-0.55596000000000001</v>
      </c>
      <c r="AY43">
        <v>9.2824799999999996</v>
      </c>
      <c r="AZ43">
        <v>4.1223200000000002</v>
      </c>
      <c r="BA43">
        <v>4.0603400000000001</v>
      </c>
      <c r="BB43">
        <v>13.4335</v>
      </c>
      <c r="BC43" s="4">
        <f>Y43-Q43</f>
        <v>-4.0071044823373807</v>
      </c>
      <c r="BD43">
        <f t="shared" si="0"/>
        <v>1.0040999999999998</v>
      </c>
    </row>
    <row r="44" spans="1:56" x14ac:dyDescent="0.35">
      <c r="A44" t="s">
        <v>310</v>
      </c>
      <c r="B44" t="s">
        <v>311</v>
      </c>
      <c r="C44" t="s">
        <v>312</v>
      </c>
      <c r="D44" t="s">
        <v>54</v>
      </c>
      <c r="E44">
        <v>52</v>
      </c>
      <c r="F44" t="s">
        <v>401</v>
      </c>
      <c r="G44" s="4">
        <v>14.225438457592</v>
      </c>
      <c r="H44" s="4">
        <v>13.879200454458999</v>
      </c>
      <c r="I44" s="4">
        <v>13.323899017073799</v>
      </c>
      <c r="J44" s="4">
        <v>9.9877159962035797</v>
      </c>
      <c r="K44" s="4">
        <v>11.2418185897575</v>
      </c>
      <c r="L44" s="4">
        <v>13.3139593828984</v>
      </c>
      <c r="M44" s="4">
        <v>14.472227550089301</v>
      </c>
      <c r="N44" s="4">
        <v>13.051717843498301</v>
      </c>
      <c r="O44" s="4">
        <v>11.237213485168301</v>
      </c>
      <c r="P44" s="4">
        <v>10.823788446491999</v>
      </c>
      <c r="Q44" s="4">
        <v>12.6148562336904</v>
      </c>
      <c r="R44" s="4">
        <v>14.080869705324901</v>
      </c>
      <c r="S44" s="4">
        <v>12.443515047297501</v>
      </c>
      <c r="T44" s="4">
        <v>12.1055022847099</v>
      </c>
      <c r="U44" s="4">
        <v>14.755477106043401</v>
      </c>
      <c r="V44" s="4">
        <v>14.6889523884503</v>
      </c>
      <c r="W44" s="4">
        <v>13.1793201622681</v>
      </c>
      <c r="X44" s="4">
        <v>13.900062298645601</v>
      </c>
      <c r="Y44" s="4">
        <v>11.179693476727399</v>
      </c>
      <c r="Z44" s="4">
        <v>14.4877200619276</v>
      </c>
      <c r="AA44" s="4">
        <v>14.1246023412897</v>
      </c>
      <c r="AB44" s="4">
        <v>14.235761919672299</v>
      </c>
      <c r="AC44" s="4">
        <v>11.3669456928921</v>
      </c>
      <c r="AD44" s="4">
        <v>15.218577096457301</v>
      </c>
      <c r="AE44">
        <v>1.87375</v>
      </c>
      <c r="AF44">
        <v>5.4787400000000002</v>
      </c>
      <c r="AG44">
        <v>6.70899</v>
      </c>
      <c r="AH44" t="s">
        <v>313</v>
      </c>
      <c r="AI44">
        <v>5.9642999999999997</v>
      </c>
      <c r="AJ44">
        <v>6.2457099999999999</v>
      </c>
      <c r="AK44">
        <v>0.77037</v>
      </c>
      <c r="AL44">
        <v>11.46068</v>
      </c>
      <c r="AM44">
        <v>13.519959999999999</v>
      </c>
      <c r="AN44">
        <v>2.46034</v>
      </c>
      <c r="AO44">
        <v>1.6171</v>
      </c>
      <c r="AP44">
        <v>6.2164999999999999</v>
      </c>
      <c r="AQ44">
        <v>-1.695E-2</v>
      </c>
      <c r="AR44">
        <v>-0.34100999999999998</v>
      </c>
      <c r="AS44">
        <v>4.9155199999999999</v>
      </c>
      <c r="AT44">
        <v>5.6630000000000003</v>
      </c>
      <c r="AU44">
        <v>1.5799399999999999</v>
      </c>
      <c r="AV44">
        <v>2.6157599999999999</v>
      </c>
      <c r="AW44">
        <v>-0.27489000000000002</v>
      </c>
      <c r="AX44">
        <v>5.9360000000000003E-2</v>
      </c>
      <c r="AY44">
        <v>8.9443000000000001</v>
      </c>
      <c r="AZ44">
        <v>2.8182499999999999</v>
      </c>
      <c r="BA44">
        <v>3.4572799999999999</v>
      </c>
      <c r="BB44">
        <v>12.763579999999999</v>
      </c>
      <c r="BC44" s="4">
        <f>Y44-Q44</f>
        <v>-1.4351627569630008</v>
      </c>
      <c r="BD44">
        <f t="shared" si="0"/>
        <v>3.0472400000000004</v>
      </c>
    </row>
    <row r="45" spans="1:56" x14ac:dyDescent="0.35">
      <c r="A45" t="s">
        <v>338</v>
      </c>
      <c r="B45" t="s">
        <v>339</v>
      </c>
      <c r="C45" t="s">
        <v>340</v>
      </c>
      <c r="D45" t="s">
        <v>54</v>
      </c>
      <c r="E45">
        <v>36</v>
      </c>
      <c r="F45" t="s">
        <v>401</v>
      </c>
      <c r="G45" s="4">
        <v>15.351614119159599</v>
      </c>
      <c r="H45" s="4">
        <v>13.8254477746598</v>
      </c>
      <c r="I45" s="4">
        <v>12.656616337453</v>
      </c>
      <c r="J45" s="4">
        <v>9.4920215248894699</v>
      </c>
      <c r="K45" s="4">
        <v>12.0557457568743</v>
      </c>
      <c r="L45" s="4">
        <v>13.568769029308401</v>
      </c>
      <c r="M45" s="4">
        <v>13.3232178852089</v>
      </c>
      <c r="N45" s="4">
        <v>12.455021158158001</v>
      </c>
      <c r="O45" s="4">
        <v>9.8979158346270495</v>
      </c>
      <c r="P45" s="4">
        <v>9.6671040298449693</v>
      </c>
      <c r="Q45" s="4">
        <v>14.1082358480128</v>
      </c>
      <c r="R45" s="4">
        <v>13.870939575732701</v>
      </c>
      <c r="S45" s="4">
        <v>13.1603512955007</v>
      </c>
      <c r="T45" s="4">
        <v>12.635439535788</v>
      </c>
      <c r="U45" s="4">
        <v>13.7976748843185</v>
      </c>
      <c r="V45" s="4">
        <v>16.6186865777996</v>
      </c>
      <c r="W45" s="4">
        <v>12.688532725723601</v>
      </c>
      <c r="X45" s="4">
        <v>11.578669893395199</v>
      </c>
      <c r="Y45" s="4">
        <v>11.789464116392001</v>
      </c>
      <c r="Z45" s="4">
        <v>13.0079995683836</v>
      </c>
      <c r="AA45" s="4">
        <v>13.6285740360783</v>
      </c>
      <c r="AB45" s="4">
        <v>15.171198666511501</v>
      </c>
      <c r="AC45" s="4">
        <v>11.3669540882284</v>
      </c>
      <c r="AD45" s="4">
        <v>14.5719806847407</v>
      </c>
      <c r="AE45">
        <v>1.59798</v>
      </c>
      <c r="AF45">
        <v>5.07362</v>
      </c>
      <c r="AG45">
        <v>6.9593999999999996</v>
      </c>
      <c r="AH45" t="s">
        <v>341</v>
      </c>
      <c r="AI45">
        <v>5.1949300000000003</v>
      </c>
      <c r="AJ45">
        <v>6.9269800000000004</v>
      </c>
      <c r="AK45">
        <v>0.52612000000000003</v>
      </c>
      <c r="AL45">
        <v>10.600289999999999</v>
      </c>
      <c r="AM45">
        <v>12.98352</v>
      </c>
      <c r="AN45">
        <v>3.0323899999999999</v>
      </c>
      <c r="AO45">
        <v>1.85493</v>
      </c>
      <c r="AP45">
        <v>4.6735300000000004</v>
      </c>
      <c r="AQ45">
        <v>-7.4370000000000006E-2</v>
      </c>
      <c r="AR45">
        <v>-0.93903000000000003</v>
      </c>
      <c r="AS45">
        <v>-1.58684</v>
      </c>
      <c r="AT45">
        <v>5.7484299999999999</v>
      </c>
      <c r="AU45">
        <v>0.26838000000000001</v>
      </c>
      <c r="AV45">
        <v>2.9226700000000001</v>
      </c>
      <c r="AW45">
        <v>-1.7178199999999999</v>
      </c>
      <c r="AX45">
        <v>-0.23949000000000001</v>
      </c>
      <c r="AY45">
        <v>8.7382899999999992</v>
      </c>
      <c r="AZ45">
        <v>2.5809199999999999</v>
      </c>
      <c r="BA45">
        <v>4.3342499999999999</v>
      </c>
      <c r="BB45">
        <v>11.308479999999999</v>
      </c>
      <c r="BC45" s="4">
        <f>Y45-Q45</f>
        <v>-2.3187717316207994</v>
      </c>
      <c r="BD45">
        <f t="shared" si="0"/>
        <v>2.8257599999999998</v>
      </c>
    </row>
    <row r="46" spans="1:56" x14ac:dyDescent="0.35">
      <c r="A46" t="s">
        <v>342</v>
      </c>
      <c r="B46" t="s">
        <v>343</v>
      </c>
      <c r="C46" t="s">
        <v>344</v>
      </c>
      <c r="D46" t="s">
        <v>54</v>
      </c>
      <c r="E46">
        <v>20</v>
      </c>
      <c r="F46" t="s">
        <v>401</v>
      </c>
      <c r="G46" s="4">
        <v>14.766316521642301</v>
      </c>
      <c r="H46" s="4">
        <v>12.973585978132601</v>
      </c>
      <c r="I46" s="4">
        <v>14.0319075534573</v>
      </c>
      <c r="J46" s="4">
        <v>10.019578573578601</v>
      </c>
      <c r="K46" s="4">
        <v>11.2468591413755</v>
      </c>
      <c r="L46" s="4">
        <v>13.478728670785801</v>
      </c>
      <c r="M46" s="4">
        <v>13.9745550003608</v>
      </c>
      <c r="N46" s="4">
        <v>12.5379436977382</v>
      </c>
      <c r="O46" s="4">
        <v>10.648333678758499</v>
      </c>
      <c r="P46" s="4">
        <v>10.619278944632701</v>
      </c>
      <c r="Q46" s="4">
        <v>12.7140651491429</v>
      </c>
      <c r="R46" s="4">
        <v>13.490912579552701</v>
      </c>
      <c r="S46" s="4">
        <v>12.826084728653299</v>
      </c>
      <c r="T46" s="4">
        <v>11.2347122329257</v>
      </c>
      <c r="U46" s="4">
        <v>13.1210803820456</v>
      </c>
      <c r="V46" s="4">
        <v>14.0798408524089</v>
      </c>
      <c r="W46" s="4">
        <v>12.5628036419188</v>
      </c>
      <c r="X46" s="4">
        <v>14.399201599097999</v>
      </c>
      <c r="Y46" s="4">
        <v>11.1168923160283</v>
      </c>
      <c r="Z46" s="4">
        <v>13.698452715782601</v>
      </c>
      <c r="AA46" s="4">
        <v>13.6867119207876</v>
      </c>
      <c r="AB46" s="4">
        <v>15.792800758558601</v>
      </c>
      <c r="AC46" s="4">
        <v>11.116077760757101</v>
      </c>
      <c r="AD46" s="4">
        <v>14.8340513801045</v>
      </c>
      <c r="AE46">
        <v>1.63561</v>
      </c>
      <c r="AF46">
        <v>5.1028799999999999</v>
      </c>
      <c r="AG46">
        <v>6.46706</v>
      </c>
      <c r="AH46" t="s">
        <v>345</v>
      </c>
      <c r="AI46">
        <v>4.9316899999999997</v>
      </c>
      <c r="AJ46">
        <v>6.8878899999999996</v>
      </c>
      <c r="AK46">
        <v>0.99705999999999995</v>
      </c>
      <c r="AL46">
        <v>11.62575</v>
      </c>
      <c r="AM46">
        <v>12.03731</v>
      </c>
      <c r="AN46">
        <v>3.0161099999999998</v>
      </c>
      <c r="AO46">
        <v>1.6331599999999999</v>
      </c>
      <c r="AP46">
        <v>5.2868700000000004</v>
      </c>
      <c r="AQ46">
        <v>8.2799999999999999E-2</v>
      </c>
      <c r="AR46">
        <v>1.9009</v>
      </c>
      <c r="AS46">
        <v>-0.93888000000000005</v>
      </c>
      <c r="AT46">
        <v>5.2754300000000001</v>
      </c>
      <c r="AU46">
        <v>0.73738999999999999</v>
      </c>
      <c r="AV46">
        <v>2.2593700000000001</v>
      </c>
      <c r="AW46">
        <v>-0.62361</v>
      </c>
      <c r="AX46">
        <v>0.46516000000000002</v>
      </c>
      <c r="AY46">
        <v>7.9806800000000004</v>
      </c>
      <c r="AZ46">
        <v>4.5328200000000001</v>
      </c>
      <c r="BA46">
        <v>3.1396000000000002</v>
      </c>
      <c r="BB46">
        <v>11.640940000000001</v>
      </c>
      <c r="BC46" s="4">
        <f>Y46-Q46</f>
        <v>-1.5971728331146</v>
      </c>
      <c r="BD46">
        <f t="shared" si="0"/>
        <v>3.01606</v>
      </c>
    </row>
    <row r="47" spans="1:56" x14ac:dyDescent="0.35">
      <c r="A47" t="s">
        <v>350</v>
      </c>
      <c r="B47" t="s">
        <v>351</v>
      </c>
      <c r="C47" t="s">
        <v>352</v>
      </c>
      <c r="D47" t="s">
        <v>54</v>
      </c>
      <c r="E47">
        <v>55</v>
      </c>
      <c r="F47" t="s">
        <v>401</v>
      </c>
      <c r="G47" s="4">
        <v>13.430557240518899</v>
      </c>
      <c r="H47" s="4">
        <v>13.466812444729401</v>
      </c>
      <c r="I47" s="4">
        <v>13.8069641435715</v>
      </c>
      <c r="J47" s="4">
        <v>10.9091378286496</v>
      </c>
      <c r="K47" s="4">
        <v>12.1324157138295</v>
      </c>
      <c r="L47" s="4">
        <v>13.5015822021037</v>
      </c>
      <c r="M47" s="4">
        <v>14.3420357002654</v>
      </c>
      <c r="N47" s="4">
        <v>13.620665843184501</v>
      </c>
      <c r="O47" s="4">
        <v>9.8964698267791</v>
      </c>
      <c r="P47" s="4">
        <v>10.647214108561901</v>
      </c>
      <c r="Q47" s="4">
        <v>14.532911710900899</v>
      </c>
      <c r="R47" s="4">
        <v>15.0304292013584</v>
      </c>
      <c r="S47" s="4">
        <v>12.476479466363999</v>
      </c>
      <c r="T47" s="4">
        <v>11.871637079709901</v>
      </c>
      <c r="U47" s="4">
        <v>13.714327661984999</v>
      </c>
      <c r="V47" s="4">
        <v>16.5999705523882</v>
      </c>
      <c r="W47" s="4">
        <v>12.6127954275749</v>
      </c>
      <c r="X47" s="4">
        <v>15.617510403001599</v>
      </c>
      <c r="Y47" s="4">
        <v>14.2860885273174</v>
      </c>
      <c r="Z47" s="4">
        <v>14.306116385898401</v>
      </c>
      <c r="AA47" s="4">
        <v>13.7769534987803</v>
      </c>
      <c r="AB47" s="4">
        <v>15.7044820926962</v>
      </c>
      <c r="AC47" s="4">
        <v>11.464120955976499</v>
      </c>
      <c r="AD47" s="4">
        <v>14.8655254563448</v>
      </c>
      <c r="AE47">
        <v>1.67577</v>
      </c>
      <c r="AF47">
        <v>6.36104</v>
      </c>
      <c r="AG47">
        <v>7.3238599999999998</v>
      </c>
      <c r="AH47" t="s">
        <v>353</v>
      </c>
      <c r="AI47">
        <v>6.0576800000000004</v>
      </c>
      <c r="AJ47">
        <v>6.0475599999999998</v>
      </c>
      <c r="AK47">
        <v>1.0930200000000001</v>
      </c>
      <c r="AL47">
        <v>11.4878</v>
      </c>
      <c r="AM47">
        <v>12.696529999999999</v>
      </c>
      <c r="AN47">
        <v>2.4522900000000001</v>
      </c>
      <c r="AO47">
        <v>0.95669999999999999</v>
      </c>
      <c r="AP47">
        <v>5.7089400000000001</v>
      </c>
      <c r="AQ47">
        <v>-0.24792</v>
      </c>
      <c r="AR47">
        <v>-0.91083000000000003</v>
      </c>
      <c r="AS47">
        <v>-4.2560000000000001E-2</v>
      </c>
      <c r="AT47">
        <v>8.1324400000000008</v>
      </c>
      <c r="AU47">
        <v>1.1554199999999999</v>
      </c>
      <c r="AV47">
        <v>3.36992</v>
      </c>
      <c r="AW47">
        <v>-0.85172999999999999</v>
      </c>
      <c r="AX47">
        <v>0.40404000000000001</v>
      </c>
      <c r="AY47">
        <v>8.1235599999999994</v>
      </c>
      <c r="AZ47">
        <v>4.1482999999999999</v>
      </c>
      <c r="BA47">
        <v>3.2067999999999999</v>
      </c>
      <c r="BB47">
        <v>11.68951</v>
      </c>
      <c r="BC47" s="4">
        <f>Y47-Q47</f>
        <v>-0.24682318358349953</v>
      </c>
      <c r="BD47">
        <f t="shared" si="0"/>
        <v>4.7625200000000003</v>
      </c>
    </row>
    <row r="48" spans="1:56" x14ac:dyDescent="0.35">
      <c r="A48" t="s">
        <v>374</v>
      </c>
      <c r="B48" t="s">
        <v>375</v>
      </c>
      <c r="C48" t="s">
        <v>376</v>
      </c>
      <c r="D48" t="s">
        <v>54</v>
      </c>
      <c r="E48">
        <v>69</v>
      </c>
      <c r="F48" t="s">
        <v>401</v>
      </c>
      <c r="G48" s="4">
        <v>14.4960159285852</v>
      </c>
      <c r="H48" s="4">
        <v>13.4297815391913</v>
      </c>
      <c r="I48" s="4">
        <v>14.0786031964172</v>
      </c>
      <c r="J48" s="4">
        <v>9.9508440869366499</v>
      </c>
      <c r="K48" s="4">
        <v>11.9668384137148</v>
      </c>
      <c r="L48" s="4">
        <v>14.029983678028</v>
      </c>
      <c r="M48" s="4">
        <v>13.6837533707166</v>
      </c>
      <c r="N48" s="4">
        <v>12.5932770486046</v>
      </c>
      <c r="O48" s="4">
        <v>10.533062163179</v>
      </c>
      <c r="P48" s="4">
        <v>10.1286831040289</v>
      </c>
      <c r="Q48" s="4">
        <v>15.0928897047412</v>
      </c>
      <c r="R48" s="4">
        <v>14.1521236407412</v>
      </c>
      <c r="S48" s="4">
        <v>13.8821746788658</v>
      </c>
      <c r="T48" s="4">
        <v>11.3712354145612</v>
      </c>
      <c r="U48" s="4">
        <v>13.352051447280299</v>
      </c>
      <c r="V48" s="4">
        <v>15.252688516046099</v>
      </c>
      <c r="W48" s="4">
        <v>11.8290538211746</v>
      </c>
      <c r="X48" s="4">
        <v>14.5653571552511</v>
      </c>
      <c r="Y48" s="4">
        <v>14.5084052145582</v>
      </c>
      <c r="Z48" s="4">
        <v>14.4675916105222</v>
      </c>
      <c r="AA48" s="4">
        <v>14.383927153365599</v>
      </c>
      <c r="AB48" s="4">
        <v>18.2074142706368</v>
      </c>
      <c r="AC48" s="4">
        <v>11.343976750123501</v>
      </c>
      <c r="AD48" s="4">
        <v>15.4564376651978</v>
      </c>
      <c r="AE48">
        <v>1.6890799999999999</v>
      </c>
      <c r="AF48">
        <v>5.4264799999999997</v>
      </c>
      <c r="AG48">
        <v>6.7864899999999997</v>
      </c>
      <c r="AH48" t="s">
        <v>377</v>
      </c>
      <c r="AI48">
        <v>5.1271399999999998</v>
      </c>
      <c r="AJ48">
        <v>5.7992600000000003</v>
      </c>
      <c r="AK48">
        <v>0.91991000000000001</v>
      </c>
      <c r="AL48">
        <v>11.5885</v>
      </c>
      <c r="AM48">
        <v>12.571540000000001</v>
      </c>
      <c r="AN48">
        <v>3.1303000000000001</v>
      </c>
      <c r="AO48">
        <v>0.38167000000000001</v>
      </c>
      <c r="AP48">
        <v>5.1053699999999997</v>
      </c>
      <c r="AQ48">
        <v>0.23924999999999999</v>
      </c>
      <c r="AR48">
        <v>-0.26666000000000001</v>
      </c>
      <c r="AS48">
        <v>6.4170000000000005E-2</v>
      </c>
      <c r="AT48">
        <v>8.8738399999999995</v>
      </c>
      <c r="AU48">
        <v>1.17357</v>
      </c>
      <c r="AV48">
        <v>4.0918099999999997</v>
      </c>
      <c r="AW48">
        <v>-0.90674999999999994</v>
      </c>
      <c r="AX48">
        <v>0.4022</v>
      </c>
      <c r="AY48">
        <v>8.9143100000000004</v>
      </c>
      <c r="AZ48">
        <v>6.5941700000000001</v>
      </c>
      <c r="BA48">
        <v>3.4223699999999999</v>
      </c>
      <c r="BB48">
        <v>12.451610000000001</v>
      </c>
      <c r="BC48" s="4">
        <f>Y48-Q48</f>
        <v>-0.58448449018299975</v>
      </c>
      <c r="BD48">
        <f t="shared" si="0"/>
        <v>4.7820299999999998</v>
      </c>
    </row>
    <row r="49" spans="1:56" x14ac:dyDescent="0.35">
      <c r="A49" t="s">
        <v>390</v>
      </c>
      <c r="B49" t="s">
        <v>391</v>
      </c>
      <c r="C49" t="s">
        <v>392</v>
      </c>
      <c r="D49" t="s">
        <v>54</v>
      </c>
      <c r="E49">
        <v>53</v>
      </c>
      <c r="F49" t="s">
        <v>401</v>
      </c>
      <c r="G49" s="4">
        <v>14.5706918984952</v>
      </c>
      <c r="H49" s="4">
        <v>13.2433130012073</v>
      </c>
      <c r="I49" s="4">
        <v>13.256558335806901</v>
      </c>
      <c r="J49" s="4">
        <v>8.8554619958912504</v>
      </c>
      <c r="K49" s="4">
        <v>10.8757944005421</v>
      </c>
      <c r="L49" s="4">
        <v>13.4952489634938</v>
      </c>
      <c r="M49" s="4">
        <v>12.1582693979451</v>
      </c>
      <c r="N49" s="4">
        <v>12.3634558516622</v>
      </c>
      <c r="O49" s="4">
        <v>11.3212594892927</v>
      </c>
      <c r="P49" s="4">
        <v>10.386385039879899</v>
      </c>
      <c r="Q49" s="4">
        <v>14.908676415154201</v>
      </c>
      <c r="R49" s="4">
        <v>14.741988941252099</v>
      </c>
      <c r="S49" s="4">
        <v>12.539435997591401</v>
      </c>
      <c r="T49" s="4">
        <v>11.573997231833999</v>
      </c>
      <c r="U49" s="4">
        <v>14.3819430026156</v>
      </c>
      <c r="V49" s="4">
        <v>14.802933355598899</v>
      </c>
      <c r="W49" s="4">
        <v>12.795549117453801</v>
      </c>
      <c r="X49" s="4">
        <v>14.210028492353301</v>
      </c>
      <c r="Y49" s="4">
        <v>12.1709171070545</v>
      </c>
      <c r="Z49" s="4">
        <v>13.5254778508613</v>
      </c>
      <c r="AA49" s="4">
        <v>13.1756321289071</v>
      </c>
      <c r="AB49" s="4">
        <v>14.4006107433213</v>
      </c>
      <c r="AC49" s="4">
        <v>10.8271984936513</v>
      </c>
      <c r="AD49" s="4">
        <v>15.5020763082439</v>
      </c>
      <c r="AE49">
        <v>1.7174</v>
      </c>
      <c r="AF49">
        <v>4.5664300000000004</v>
      </c>
      <c r="AG49">
        <v>5.9932600000000003</v>
      </c>
      <c r="AH49" t="s">
        <v>393</v>
      </c>
      <c r="AI49">
        <v>4.9751099999999999</v>
      </c>
      <c r="AJ49">
        <v>6.3274400000000002</v>
      </c>
      <c r="AK49">
        <v>0.74392999999999998</v>
      </c>
      <c r="AL49">
        <v>10.964029999999999</v>
      </c>
      <c r="AM49">
        <v>12.407629999999999</v>
      </c>
      <c r="AN49">
        <v>2.82667</v>
      </c>
      <c r="AO49">
        <v>1.1049500000000001</v>
      </c>
      <c r="AP49">
        <v>5.04894</v>
      </c>
      <c r="AQ49">
        <v>-0.26995999999999998</v>
      </c>
      <c r="AR49">
        <v>-0.1066</v>
      </c>
      <c r="AS49">
        <v>0.16688</v>
      </c>
      <c r="AT49">
        <v>6.5479500000000002</v>
      </c>
      <c r="AU49">
        <v>0.61797999999999997</v>
      </c>
      <c r="AV49">
        <v>4.28728</v>
      </c>
      <c r="AW49">
        <v>-0.78564000000000001</v>
      </c>
      <c r="AX49">
        <v>-0.27426</v>
      </c>
      <c r="AY49">
        <v>8.1340599999999998</v>
      </c>
      <c r="AZ49">
        <v>2.97905</v>
      </c>
      <c r="BA49">
        <v>3.2285699999999999</v>
      </c>
      <c r="BB49">
        <v>12.54684</v>
      </c>
      <c r="BC49" s="4">
        <f>Y49-Q49</f>
        <v>-2.7377593080997009</v>
      </c>
      <c r="BD49">
        <f t="shared" si="0"/>
        <v>2.2606700000000002</v>
      </c>
    </row>
    <row r="50" spans="1:56" x14ac:dyDescent="0.35">
      <c r="A50" t="s">
        <v>60</v>
      </c>
      <c r="B50" t="s">
        <v>61</v>
      </c>
      <c r="C50" t="s">
        <v>62</v>
      </c>
      <c r="D50" t="s">
        <v>63</v>
      </c>
      <c r="E50">
        <v>61</v>
      </c>
      <c r="F50" t="s">
        <v>401</v>
      </c>
      <c r="G50" s="4">
        <v>13.4680334699217</v>
      </c>
      <c r="H50" s="4">
        <v>13.087371144031501</v>
      </c>
      <c r="I50" s="4">
        <v>12.923034869718601</v>
      </c>
      <c r="J50" s="4">
        <v>9.1669879695758993</v>
      </c>
      <c r="K50" s="4">
        <v>10.596070660101899</v>
      </c>
      <c r="L50" s="4">
        <v>13.370565405135601</v>
      </c>
      <c r="M50" s="4">
        <v>13.169776901955601</v>
      </c>
      <c r="N50" s="4">
        <v>12.3520807582338</v>
      </c>
      <c r="O50" s="4">
        <v>9.6151778186983705</v>
      </c>
      <c r="P50" s="4">
        <v>8.1960367479937908</v>
      </c>
      <c r="Q50" s="4">
        <v>13.5976358032352</v>
      </c>
      <c r="R50" s="4">
        <v>13.739986004636499</v>
      </c>
      <c r="S50" s="4">
        <v>13.459624311500001</v>
      </c>
      <c r="T50" s="4">
        <v>12.198770584626599</v>
      </c>
      <c r="U50" s="4">
        <v>13.0290865865962</v>
      </c>
      <c r="V50" s="4">
        <v>16.1690682790362</v>
      </c>
      <c r="W50" s="4">
        <v>10.9473989613104</v>
      </c>
      <c r="X50" s="4">
        <v>10.666814230627001</v>
      </c>
      <c r="Y50" s="4">
        <v>14.1071810901328</v>
      </c>
      <c r="Z50" s="4">
        <v>14.0534406074185</v>
      </c>
      <c r="AA50" s="4">
        <v>13.0795858257035</v>
      </c>
      <c r="AB50" s="4">
        <v>12.5193707623131</v>
      </c>
      <c r="AC50" s="4">
        <v>10.542476009770301</v>
      </c>
      <c r="AD50" s="4">
        <v>15.0064826806558</v>
      </c>
      <c r="AE50">
        <v>1.734</v>
      </c>
      <c r="AF50">
        <v>5.2211800000000004</v>
      </c>
      <c r="AG50">
        <v>6.3630599999999999</v>
      </c>
      <c r="AH50" t="s">
        <v>64</v>
      </c>
      <c r="AI50">
        <v>5.5768599999999999</v>
      </c>
      <c r="AJ50">
        <v>5.4746899999999998</v>
      </c>
      <c r="AK50">
        <v>1.42767</v>
      </c>
      <c r="AL50">
        <v>11.87346</v>
      </c>
      <c r="AM50">
        <v>12.83548</v>
      </c>
      <c r="AN50">
        <v>3.6461700000000001</v>
      </c>
      <c r="AO50">
        <v>1.7078199999999999</v>
      </c>
      <c r="AP50">
        <v>4.2244000000000002</v>
      </c>
      <c r="AQ50">
        <v>0.25530999999999998</v>
      </c>
      <c r="AR50">
        <v>-0.28405000000000002</v>
      </c>
      <c r="AS50">
        <v>-1.9066799999999999</v>
      </c>
      <c r="AT50">
        <v>8.8962299999999992</v>
      </c>
      <c r="AU50">
        <v>1.25163</v>
      </c>
      <c r="AV50">
        <v>3.51586</v>
      </c>
      <c r="AW50">
        <v>-0.38322000000000001</v>
      </c>
      <c r="AX50">
        <v>0.67035999999999996</v>
      </c>
      <c r="AY50">
        <v>8.9940999999999995</v>
      </c>
      <c r="AZ50">
        <v>2.5304000000000002</v>
      </c>
      <c r="BA50">
        <v>3.2379600000000002</v>
      </c>
      <c r="BB50">
        <v>12.68491</v>
      </c>
      <c r="BC50" s="4">
        <f>Y50-Q50</f>
        <v>0.50954528689760004</v>
      </c>
      <c r="BD50">
        <f t="shared" si="0"/>
        <v>5.3803699999999992</v>
      </c>
    </row>
    <row r="51" spans="1:56" x14ac:dyDescent="0.35">
      <c r="A51" t="s">
        <v>65</v>
      </c>
      <c r="B51" t="s">
        <v>66</v>
      </c>
      <c r="C51" t="s">
        <v>67</v>
      </c>
      <c r="D51" t="s">
        <v>63</v>
      </c>
      <c r="E51">
        <v>62</v>
      </c>
      <c r="F51" t="s">
        <v>402</v>
      </c>
      <c r="G51" s="4">
        <v>15.5833896642211</v>
      </c>
      <c r="H51" s="4">
        <v>13.9721650876825</v>
      </c>
      <c r="I51" s="4">
        <v>12.7531154381586</v>
      </c>
      <c r="J51" s="4">
        <v>10.073233684561499</v>
      </c>
      <c r="K51" s="4">
        <v>11.621435445661</v>
      </c>
      <c r="L51" s="4">
        <v>12.954087495494401</v>
      </c>
      <c r="M51" s="4">
        <v>12.596253140380799</v>
      </c>
      <c r="N51" s="4">
        <v>13.5467649947499</v>
      </c>
      <c r="O51" s="4">
        <v>10.2714237131893</v>
      </c>
      <c r="P51" s="4">
        <v>10.872551923878699</v>
      </c>
      <c r="Q51" s="4">
        <v>14.346657550904901</v>
      </c>
      <c r="R51" s="4">
        <v>13.154792534104701</v>
      </c>
      <c r="S51" s="4">
        <v>12.2683652598247</v>
      </c>
      <c r="T51" s="4">
        <v>13.539003738597801</v>
      </c>
      <c r="U51" s="4">
        <v>12.341338093789201</v>
      </c>
      <c r="V51" s="4">
        <v>15.708401177098599</v>
      </c>
      <c r="W51" s="4">
        <v>12.5599512082701</v>
      </c>
      <c r="X51" s="4">
        <v>11.7601779401532</v>
      </c>
      <c r="Y51" s="4">
        <v>13.2562303703592</v>
      </c>
      <c r="Z51" s="4">
        <v>15.030949363490199</v>
      </c>
      <c r="AA51" s="4">
        <v>12.288022018869301</v>
      </c>
      <c r="AB51" s="4">
        <v>13.3998227067608</v>
      </c>
      <c r="AC51" s="4">
        <v>11.135539264746001</v>
      </c>
      <c r="AD51" s="4">
        <v>15.145404517445</v>
      </c>
      <c r="AE51">
        <v>1.4906999999999999</v>
      </c>
      <c r="AF51">
        <v>5.9016200000000003</v>
      </c>
      <c r="AG51">
        <v>6.9786000000000001</v>
      </c>
      <c r="AH51" t="s">
        <v>68</v>
      </c>
      <c r="AI51">
        <v>6.7803300000000002</v>
      </c>
      <c r="AJ51">
        <v>7.4599200000000003</v>
      </c>
      <c r="AK51">
        <v>0.82572000000000001</v>
      </c>
      <c r="AL51">
        <v>11.47139</v>
      </c>
      <c r="AM51">
        <v>13.47462</v>
      </c>
      <c r="AN51">
        <v>2.5143399999999998</v>
      </c>
      <c r="AO51">
        <v>0.38266</v>
      </c>
      <c r="AP51">
        <v>6.2382299999999997</v>
      </c>
      <c r="AQ51">
        <v>-0.43792999999999999</v>
      </c>
      <c r="AR51">
        <v>-0.92183999999999999</v>
      </c>
      <c r="AS51">
        <v>-1.3809499999999999</v>
      </c>
      <c r="AT51">
        <v>7.7232500000000002</v>
      </c>
      <c r="AU51">
        <v>1.6088100000000001</v>
      </c>
      <c r="AV51">
        <v>3.6867100000000002</v>
      </c>
      <c r="AW51">
        <v>0.26373999999999997</v>
      </c>
      <c r="AX51">
        <v>9.5019999999999993E-2</v>
      </c>
      <c r="AY51">
        <v>9.9614799999999999</v>
      </c>
      <c r="AZ51">
        <v>2.6052300000000002</v>
      </c>
      <c r="BA51">
        <v>3.67807</v>
      </c>
      <c r="BB51">
        <v>12.52876</v>
      </c>
      <c r="BC51" s="4">
        <f>Y51-Q51</f>
        <v>-1.0904271805457011</v>
      </c>
      <c r="BD51">
        <f t="shared" si="0"/>
        <v>4.0365400000000005</v>
      </c>
    </row>
    <row r="52" spans="1:56" x14ac:dyDescent="0.35">
      <c r="A52" t="s">
        <v>69</v>
      </c>
      <c r="B52" t="s">
        <v>70</v>
      </c>
      <c r="C52" t="s">
        <v>71</v>
      </c>
      <c r="D52" t="s">
        <v>63</v>
      </c>
      <c r="E52">
        <v>29</v>
      </c>
      <c r="F52" t="s">
        <v>401</v>
      </c>
      <c r="G52" s="4">
        <v>14.121711396907401</v>
      </c>
      <c r="H52" s="4">
        <v>12.629002796405601</v>
      </c>
      <c r="I52" s="4">
        <v>16.446339631698301</v>
      </c>
      <c r="J52" s="4">
        <v>11.225630891092299</v>
      </c>
      <c r="K52" s="4">
        <v>10.29429003724</v>
      </c>
      <c r="L52" s="4">
        <v>12.8442920457108</v>
      </c>
      <c r="M52" s="4">
        <v>13.584299775537399</v>
      </c>
      <c r="N52" s="4">
        <v>11.5896211284466</v>
      </c>
      <c r="O52" s="4">
        <v>12.910869374339899</v>
      </c>
      <c r="P52" s="4">
        <v>11.194984628660601</v>
      </c>
      <c r="Q52" s="4">
        <v>16.651462559797199</v>
      </c>
      <c r="R52" s="4">
        <v>13.284390525912499</v>
      </c>
      <c r="S52" s="4">
        <v>12.8882203418316</v>
      </c>
      <c r="T52" s="4">
        <v>10.4414042594696</v>
      </c>
      <c r="U52" s="4">
        <v>12.5468721692031</v>
      </c>
      <c r="V52" s="4">
        <v>16.324488175391998</v>
      </c>
      <c r="W52" s="4">
        <v>11.8271885435759</v>
      </c>
      <c r="X52" s="4">
        <v>14.201137661658899</v>
      </c>
      <c r="Y52" s="4">
        <v>16.241779649940099</v>
      </c>
      <c r="Z52" s="4">
        <v>12.164388158425499</v>
      </c>
      <c r="AA52" s="4">
        <v>12.7413460066076</v>
      </c>
      <c r="AB52" s="4">
        <v>15.0796496275064</v>
      </c>
      <c r="AC52" s="4">
        <v>11.3255275023677</v>
      </c>
      <c r="AD52" s="4">
        <v>14.415484987993301</v>
      </c>
      <c r="AE52">
        <v>1.51505</v>
      </c>
      <c r="AF52">
        <v>7.2151899999999998</v>
      </c>
      <c r="AG52">
        <v>7.4276099999999996</v>
      </c>
      <c r="AH52" t="s">
        <v>72</v>
      </c>
      <c r="AI52">
        <v>5.1492899999999997</v>
      </c>
      <c r="AJ52">
        <v>6.3302300000000002</v>
      </c>
      <c r="AK52">
        <v>1.0753900000000001</v>
      </c>
      <c r="AL52">
        <v>14.270390000000001</v>
      </c>
      <c r="AM52">
        <v>12.1607</v>
      </c>
      <c r="AN52">
        <v>3.1491400000000001</v>
      </c>
      <c r="AO52">
        <v>-4.9669999999999999E-2</v>
      </c>
      <c r="AP52">
        <v>6.6026199999999999</v>
      </c>
      <c r="AQ52">
        <v>-0.1903</v>
      </c>
      <c r="AR52">
        <v>-1.53268</v>
      </c>
      <c r="AS52">
        <v>-1.25664</v>
      </c>
      <c r="AT52">
        <v>11.01995</v>
      </c>
      <c r="AU52">
        <v>0.28273999999999999</v>
      </c>
      <c r="AV52">
        <v>5.94442</v>
      </c>
      <c r="AW52">
        <v>-0.30153000000000002</v>
      </c>
      <c r="AX52">
        <v>-0.18392</v>
      </c>
      <c r="AY52">
        <v>8.6438500000000005</v>
      </c>
      <c r="AZ52">
        <v>4.6190199999999999</v>
      </c>
      <c r="BA52">
        <v>3.1671499999999999</v>
      </c>
      <c r="BB52">
        <v>12.129099999999999</v>
      </c>
      <c r="BC52" s="4">
        <f>Y52-Q52</f>
        <v>-0.40968290985709999</v>
      </c>
      <c r="BD52">
        <f t="shared" si="0"/>
        <v>5.0755299999999997</v>
      </c>
    </row>
    <row r="53" spans="1:56" x14ac:dyDescent="0.35">
      <c r="A53" t="s">
        <v>73</v>
      </c>
      <c r="B53" t="s">
        <v>74</v>
      </c>
      <c r="C53" t="s">
        <v>75</v>
      </c>
      <c r="D53" t="s">
        <v>63</v>
      </c>
      <c r="E53">
        <v>22</v>
      </c>
      <c r="F53" t="s">
        <v>401</v>
      </c>
      <c r="G53" s="4">
        <v>14.4329627612256</v>
      </c>
      <c r="H53" s="4">
        <v>12.0307290649927</v>
      </c>
      <c r="I53" s="4">
        <v>15.462982791610999</v>
      </c>
      <c r="J53" s="4">
        <v>10.919620052278299</v>
      </c>
      <c r="K53" s="4">
        <v>11.3700626934768</v>
      </c>
      <c r="L53" s="4">
        <v>13.483917977076</v>
      </c>
      <c r="M53" s="4">
        <v>13.075579321091</v>
      </c>
      <c r="N53" s="4">
        <v>12.8504089523167</v>
      </c>
      <c r="O53" s="4">
        <v>9.5993721157725496</v>
      </c>
      <c r="P53" s="4">
        <v>11.5293195156372</v>
      </c>
      <c r="Q53" s="4">
        <v>16.600679338330298</v>
      </c>
      <c r="R53" s="4">
        <v>14.7796580704828</v>
      </c>
      <c r="S53" s="4">
        <v>12.9713217707179</v>
      </c>
      <c r="T53" s="4">
        <v>11.355561234523201</v>
      </c>
      <c r="U53" s="4">
        <v>13.2766851714041</v>
      </c>
      <c r="V53" s="4">
        <v>16.4984862425462</v>
      </c>
      <c r="W53" s="4">
        <v>10.7301989396016</v>
      </c>
      <c r="X53" s="4">
        <v>12.861828974624901</v>
      </c>
      <c r="Y53" s="4">
        <v>17.5008306714642</v>
      </c>
      <c r="Z53" s="4">
        <v>13.184689497262299</v>
      </c>
      <c r="AA53" s="4">
        <v>13.206872541636599</v>
      </c>
      <c r="AB53" s="4">
        <v>14.931445524615199</v>
      </c>
      <c r="AC53" s="4">
        <v>11.5087103426211</v>
      </c>
      <c r="AD53" s="4">
        <v>14.720429814753899</v>
      </c>
      <c r="AE53">
        <v>0.35010999999999998</v>
      </c>
      <c r="AF53">
        <v>5.4217399999999998</v>
      </c>
      <c r="AG53">
        <v>6.0607100000000003</v>
      </c>
      <c r="AH53" t="s">
        <v>76</v>
      </c>
      <c r="AI53">
        <v>4.6740899999999996</v>
      </c>
      <c r="AJ53">
        <v>5.6169799999999999</v>
      </c>
      <c r="AK53">
        <v>-7.1580000000000005E-2</v>
      </c>
      <c r="AL53">
        <v>12.34843</v>
      </c>
      <c r="AM53">
        <v>10.21453</v>
      </c>
      <c r="AN53">
        <v>2.0334400000000001</v>
      </c>
      <c r="AO53">
        <v>-1.1817299999999999</v>
      </c>
      <c r="AP53">
        <v>5.5857099999999997</v>
      </c>
      <c r="AQ53">
        <v>-1.2526999999999999</v>
      </c>
      <c r="AR53">
        <v>-1.456</v>
      </c>
      <c r="AS53">
        <v>-2.5846800000000001</v>
      </c>
      <c r="AT53">
        <v>10.772919999999999</v>
      </c>
      <c r="AU53">
        <v>-0.66549999999999998</v>
      </c>
      <c r="AV53">
        <v>4.4905099999999996</v>
      </c>
      <c r="AW53">
        <v>-2.4313600000000002</v>
      </c>
      <c r="AX53">
        <v>-0.99733000000000005</v>
      </c>
      <c r="AY53">
        <v>7.2194099999999999</v>
      </c>
      <c r="AZ53">
        <v>2.9277099999999998</v>
      </c>
      <c r="BA53">
        <v>2.5095900000000002</v>
      </c>
      <c r="BB53">
        <v>11.115589999999999</v>
      </c>
      <c r="BC53" s="4">
        <f>Y53-Q53</f>
        <v>0.90015133313390194</v>
      </c>
      <c r="BD53">
        <f t="shared" si="0"/>
        <v>6.2824099999999996</v>
      </c>
    </row>
    <row r="54" spans="1:56" x14ac:dyDescent="0.35">
      <c r="A54" t="s">
        <v>77</v>
      </c>
      <c r="B54" t="s">
        <v>78</v>
      </c>
      <c r="C54" t="s">
        <v>79</v>
      </c>
      <c r="D54" t="s">
        <v>63</v>
      </c>
      <c r="E54">
        <v>59</v>
      </c>
      <c r="F54" t="s">
        <v>401</v>
      </c>
      <c r="G54" s="4">
        <v>14.205317933927899</v>
      </c>
      <c r="H54" s="4">
        <v>13.819691797941299</v>
      </c>
      <c r="I54" s="4">
        <v>14.725712786405399</v>
      </c>
      <c r="J54" s="4">
        <v>10.326425268005799</v>
      </c>
      <c r="K54" s="4">
        <v>10.8941664079251</v>
      </c>
      <c r="L54" s="4">
        <v>13.7243766252677</v>
      </c>
      <c r="M54" s="4">
        <v>14.387299734550099</v>
      </c>
      <c r="N54" s="4">
        <v>13.2538059667685</v>
      </c>
      <c r="O54" s="4">
        <v>8.9594914295732302</v>
      </c>
      <c r="P54" s="4">
        <v>10.358183955445</v>
      </c>
      <c r="Q54" s="4">
        <v>14.6862188303558</v>
      </c>
      <c r="R54" s="4">
        <v>16.022292060631699</v>
      </c>
      <c r="S54" s="4">
        <v>12.3456458975665</v>
      </c>
      <c r="T54" s="4">
        <v>12.862559196379401</v>
      </c>
      <c r="U54" s="4">
        <v>12.951614614514</v>
      </c>
      <c r="V54" s="4">
        <v>17.543297536321599</v>
      </c>
      <c r="W54" s="4">
        <v>12.176860442814499</v>
      </c>
      <c r="X54" s="4">
        <v>15.356176282215801</v>
      </c>
      <c r="Y54" s="4">
        <v>14.108290591223801</v>
      </c>
      <c r="Z54" s="4">
        <v>14.7963318239497</v>
      </c>
      <c r="AA54" s="4">
        <v>13.547911504098</v>
      </c>
      <c r="AB54" s="4">
        <v>13.702725652887001</v>
      </c>
      <c r="AC54" s="4">
        <v>10.969175655423101</v>
      </c>
      <c r="AD54" s="4">
        <v>14.7656329306614</v>
      </c>
      <c r="AE54">
        <v>1.71485</v>
      </c>
      <c r="AF54">
        <v>6.3364700000000003</v>
      </c>
      <c r="AG54">
        <v>6.9806400000000002</v>
      </c>
      <c r="AH54" t="s">
        <v>80</v>
      </c>
      <c r="AI54">
        <v>5.8004600000000002</v>
      </c>
      <c r="AJ54">
        <v>6.6149399999999998</v>
      </c>
      <c r="AK54">
        <v>1.9821899999999999</v>
      </c>
      <c r="AL54">
        <v>12.99822</v>
      </c>
      <c r="AM54">
        <v>13.61167</v>
      </c>
      <c r="AN54">
        <v>4.1576199999999996</v>
      </c>
      <c r="AO54">
        <v>1.61456</v>
      </c>
      <c r="AP54">
        <v>6.0009600000000001</v>
      </c>
      <c r="AQ54">
        <v>-0.14723</v>
      </c>
      <c r="AR54">
        <v>-0.68245</v>
      </c>
      <c r="AS54">
        <v>-0.99877000000000005</v>
      </c>
      <c r="AT54">
        <v>8.8032500000000002</v>
      </c>
      <c r="AU54">
        <v>1.7379500000000001</v>
      </c>
      <c r="AV54">
        <v>4.2381900000000003</v>
      </c>
      <c r="AW54">
        <v>-1.1809000000000001</v>
      </c>
      <c r="AX54">
        <v>0.27850000000000003</v>
      </c>
      <c r="AY54">
        <v>8.8987099999999995</v>
      </c>
      <c r="AZ54">
        <v>3.02569</v>
      </c>
      <c r="BA54">
        <v>3.2704800000000001</v>
      </c>
      <c r="BB54">
        <v>12.12494</v>
      </c>
      <c r="BC54" s="4">
        <f>Y54-Q54</f>
        <v>-0.57792823913199953</v>
      </c>
      <c r="BD54">
        <f t="shared" si="0"/>
        <v>4.5650599999999999</v>
      </c>
    </row>
    <row r="55" spans="1:56" x14ac:dyDescent="0.35">
      <c r="A55" t="s">
        <v>81</v>
      </c>
      <c r="B55" t="s">
        <v>82</v>
      </c>
      <c r="C55" t="s">
        <v>83</v>
      </c>
      <c r="D55" t="s">
        <v>63</v>
      </c>
      <c r="E55">
        <v>22</v>
      </c>
      <c r="F55" t="s">
        <v>401</v>
      </c>
      <c r="G55" s="4">
        <v>13.908810921966399</v>
      </c>
      <c r="H55" s="4">
        <v>12.465733535080201</v>
      </c>
      <c r="I55" s="4">
        <v>13.244353285958899</v>
      </c>
      <c r="J55" s="4">
        <v>9.5556643389660305</v>
      </c>
      <c r="K55" s="4">
        <v>11.4471290602451</v>
      </c>
      <c r="L55" s="4">
        <v>13.4107069885815</v>
      </c>
      <c r="M55" s="4">
        <v>12.996950537442199</v>
      </c>
      <c r="N55" s="4">
        <v>13.099176510587601</v>
      </c>
      <c r="O55" s="4">
        <v>9.9435662126669904</v>
      </c>
      <c r="P55" s="4">
        <v>11.794024367425299</v>
      </c>
      <c r="Q55" s="4">
        <v>12.0551763278316</v>
      </c>
      <c r="R55" s="4">
        <v>15.5213447623279</v>
      </c>
      <c r="S55" s="4">
        <v>12.798565677781101</v>
      </c>
      <c r="T55" s="4">
        <v>10.549875411740199</v>
      </c>
      <c r="U55" s="4">
        <v>14.194009274170201</v>
      </c>
      <c r="V55" s="4">
        <v>15.025753106961099</v>
      </c>
      <c r="W55" s="4">
        <v>14.3502255308938</v>
      </c>
      <c r="X55" s="4">
        <v>16.348937369511599</v>
      </c>
      <c r="Y55" s="4">
        <v>10.1302204045097</v>
      </c>
      <c r="Z55" s="4">
        <v>13.006733434938401</v>
      </c>
      <c r="AA55" s="4">
        <v>12.499747844555699</v>
      </c>
      <c r="AB55" s="4">
        <v>13.879578634652299</v>
      </c>
      <c r="AC55" s="4">
        <v>11.170484059340801</v>
      </c>
      <c r="AD55" s="4">
        <v>14.719662524927401</v>
      </c>
      <c r="AE55">
        <v>1.6539200000000001</v>
      </c>
      <c r="AF55">
        <v>5.4117100000000002</v>
      </c>
      <c r="AG55">
        <v>6.9316800000000001</v>
      </c>
      <c r="AH55" t="s">
        <v>84</v>
      </c>
      <c r="AI55">
        <v>5.9754699999999996</v>
      </c>
      <c r="AJ55">
        <v>6.3097000000000003</v>
      </c>
      <c r="AK55">
        <v>0.71399999999999997</v>
      </c>
      <c r="AL55">
        <v>11.285909999999999</v>
      </c>
      <c r="AM55">
        <v>12.084289999999999</v>
      </c>
      <c r="AN55">
        <v>2.77691</v>
      </c>
      <c r="AO55">
        <v>1.2716099999999999</v>
      </c>
      <c r="AP55">
        <v>7.0230899999999998</v>
      </c>
      <c r="AQ55">
        <v>-0.95696000000000003</v>
      </c>
      <c r="AR55">
        <v>0.62034</v>
      </c>
      <c r="AS55">
        <v>-1.1844399999999999</v>
      </c>
      <c r="AT55">
        <v>4.3022600000000004</v>
      </c>
      <c r="AU55">
        <v>0.75434999999999997</v>
      </c>
      <c r="AV55">
        <v>1.7149399999999999</v>
      </c>
      <c r="AW55">
        <v>-0.88741999999999999</v>
      </c>
      <c r="AX55">
        <v>-0.77924000000000004</v>
      </c>
      <c r="AY55">
        <v>7.9307100000000004</v>
      </c>
      <c r="AZ55">
        <v>2.4146899999999998</v>
      </c>
      <c r="BA55">
        <v>3.12208</v>
      </c>
      <c r="BB55">
        <v>11.81645</v>
      </c>
      <c r="BC55" s="4">
        <f>Y55-Q55</f>
        <v>-1.9249559233218996</v>
      </c>
      <c r="BD55">
        <f t="shared" si="0"/>
        <v>2.5873200000000005</v>
      </c>
    </row>
    <row r="56" spans="1:56" x14ac:dyDescent="0.35">
      <c r="A56" t="s">
        <v>102</v>
      </c>
      <c r="B56" t="s">
        <v>103</v>
      </c>
      <c r="C56" t="s">
        <v>104</v>
      </c>
      <c r="D56" t="s">
        <v>63</v>
      </c>
      <c r="E56">
        <v>49</v>
      </c>
      <c r="F56" t="s">
        <v>401</v>
      </c>
      <c r="G56" s="4">
        <v>14.7437531622846</v>
      </c>
      <c r="H56" s="4">
        <v>12.9494317889817</v>
      </c>
      <c r="I56" s="4">
        <v>13.8704345266763</v>
      </c>
      <c r="J56" s="4">
        <v>8.6639251358767808</v>
      </c>
      <c r="K56" s="4">
        <v>11.301470554013401</v>
      </c>
      <c r="L56" s="4">
        <v>15.0710462005094</v>
      </c>
      <c r="M56" s="4">
        <v>14.486973911119099</v>
      </c>
      <c r="N56" s="4">
        <v>13.9702500818597</v>
      </c>
      <c r="O56" s="4">
        <v>14.1364455622473</v>
      </c>
      <c r="P56" s="4">
        <v>12.5799110571113</v>
      </c>
      <c r="Q56" s="4">
        <v>13.777898624623299</v>
      </c>
      <c r="R56" s="4">
        <v>14.7373072950656</v>
      </c>
      <c r="S56" s="4">
        <v>14.4054622738914</v>
      </c>
      <c r="T56" s="4">
        <v>13.8373264046384</v>
      </c>
      <c r="U56" s="4">
        <v>14.094508897571499</v>
      </c>
      <c r="V56" s="4">
        <v>14.4171695434763</v>
      </c>
      <c r="W56" s="4">
        <v>13.942790037384</v>
      </c>
      <c r="X56" s="4">
        <v>13.939687495442501</v>
      </c>
      <c r="Y56" s="4">
        <v>10.540077963942601</v>
      </c>
      <c r="Z56" s="4">
        <v>15.7999192729927</v>
      </c>
      <c r="AA56" s="4">
        <v>13.7225321626427</v>
      </c>
      <c r="AB56" s="4">
        <v>13.0195708406438</v>
      </c>
      <c r="AC56" s="4">
        <v>12.0871983216967</v>
      </c>
      <c r="AD56" s="4">
        <v>16.037425009198099</v>
      </c>
      <c r="AE56">
        <v>1.6699600000000001</v>
      </c>
      <c r="AF56">
        <v>4.5129400000000004</v>
      </c>
      <c r="AG56">
        <v>5.8451300000000002</v>
      </c>
      <c r="AH56" t="s">
        <v>105</v>
      </c>
      <c r="AI56">
        <v>6.3624499999999999</v>
      </c>
      <c r="AJ56">
        <v>6.0525900000000004</v>
      </c>
      <c r="AK56">
        <v>0.68393000000000004</v>
      </c>
      <c r="AL56">
        <v>10.759980000000001</v>
      </c>
      <c r="AM56">
        <v>12.516819999999999</v>
      </c>
      <c r="AN56">
        <v>2.8995299999999999</v>
      </c>
      <c r="AO56">
        <v>1.1387700000000001</v>
      </c>
      <c r="AP56">
        <v>6.2882100000000003</v>
      </c>
      <c r="AQ56">
        <v>0.16542000000000001</v>
      </c>
      <c r="AR56">
        <v>-0.51378000000000001</v>
      </c>
      <c r="AS56">
        <v>-1.1243700000000001</v>
      </c>
      <c r="AT56">
        <v>4.8941999999999997</v>
      </c>
      <c r="AU56">
        <v>1.6033200000000001</v>
      </c>
      <c r="AV56">
        <v>1.8145800000000001</v>
      </c>
      <c r="AW56">
        <v>-1.01552</v>
      </c>
      <c r="AX56">
        <v>0.60043999999999997</v>
      </c>
      <c r="AY56">
        <v>9.0971600000000006</v>
      </c>
      <c r="AZ56">
        <v>4.5821100000000001</v>
      </c>
      <c r="BA56">
        <v>2.8656600000000001</v>
      </c>
      <c r="BB56">
        <v>12.11562</v>
      </c>
      <c r="BC56" s="4">
        <f>Y56-Q56</f>
        <v>-3.2378206606806987</v>
      </c>
      <c r="BD56">
        <f t="shared" si="0"/>
        <v>3.0796199999999994</v>
      </c>
    </row>
    <row r="57" spans="1:56" x14ac:dyDescent="0.35">
      <c r="A57" t="s">
        <v>122</v>
      </c>
      <c r="B57" t="s">
        <v>123</v>
      </c>
      <c r="C57" t="s">
        <v>124</v>
      </c>
      <c r="D57" t="s">
        <v>63</v>
      </c>
      <c r="E57">
        <v>18</v>
      </c>
      <c r="F57" t="s">
        <v>401</v>
      </c>
      <c r="G57" s="4">
        <v>13.9166056402722</v>
      </c>
      <c r="H57" s="4">
        <v>11.4780446316507</v>
      </c>
      <c r="I57" s="4">
        <v>15.8580088196296</v>
      </c>
      <c r="J57" s="4">
        <v>10.489926790556799</v>
      </c>
      <c r="K57" s="4">
        <v>12.799503980562299</v>
      </c>
      <c r="L57" s="4">
        <v>15.319640888016799</v>
      </c>
      <c r="M57" s="4">
        <v>13.4593449625748</v>
      </c>
      <c r="N57" s="4">
        <v>14.417655214418801</v>
      </c>
      <c r="O57" s="4">
        <v>11.0587192212557</v>
      </c>
      <c r="P57" s="4">
        <v>11.391715957683401</v>
      </c>
      <c r="Q57" s="4">
        <v>15.683577516746499</v>
      </c>
      <c r="R57" s="4">
        <v>16.069374152272601</v>
      </c>
      <c r="S57" s="4">
        <v>12.170393909939699</v>
      </c>
      <c r="T57" s="4">
        <v>11.977927395983301</v>
      </c>
      <c r="U57" s="4">
        <v>12.6192282179915</v>
      </c>
      <c r="V57" s="4">
        <v>18.674105761245801</v>
      </c>
      <c r="W57" s="4">
        <v>12.206217517556</v>
      </c>
      <c r="X57" s="4">
        <v>13.0919588699252</v>
      </c>
      <c r="Y57" s="4">
        <v>15.853336549960201</v>
      </c>
      <c r="Z57" s="4">
        <v>12.4801693209468</v>
      </c>
      <c r="AA57" s="4">
        <v>14.1936935352056</v>
      </c>
      <c r="AB57" s="4">
        <v>14.130650200168599</v>
      </c>
      <c r="AC57" s="4">
        <v>11.8621581470825</v>
      </c>
      <c r="AD57" s="4">
        <v>15.372002719459999</v>
      </c>
      <c r="AE57">
        <v>1.74973</v>
      </c>
      <c r="AF57">
        <v>6.5254200000000004</v>
      </c>
      <c r="AG57">
        <v>8.2593499999999995</v>
      </c>
      <c r="AH57" t="s">
        <v>125</v>
      </c>
      <c r="AI57">
        <v>7.2973800000000004</v>
      </c>
      <c r="AJ57">
        <v>5.9012200000000004</v>
      </c>
      <c r="AK57">
        <v>2.5545300000000002</v>
      </c>
      <c r="AL57">
        <v>13.62341</v>
      </c>
      <c r="AM57">
        <v>10.75704</v>
      </c>
      <c r="AN57">
        <v>4.7404099999999998</v>
      </c>
      <c r="AO57">
        <v>1.3747</v>
      </c>
      <c r="AP57">
        <v>6.7068500000000002</v>
      </c>
      <c r="AQ57">
        <v>1.4493499999999999</v>
      </c>
      <c r="AR57">
        <v>-0.25620999999999999</v>
      </c>
      <c r="AS57">
        <v>1.31613</v>
      </c>
      <c r="AT57">
        <v>10.27403</v>
      </c>
      <c r="AU57">
        <v>0.47197</v>
      </c>
      <c r="AV57">
        <v>4.9786200000000003</v>
      </c>
      <c r="AW57">
        <v>-0.46755000000000002</v>
      </c>
      <c r="AX57">
        <v>0.22832</v>
      </c>
      <c r="AY57">
        <v>9.5495699999999992</v>
      </c>
      <c r="AZ57">
        <v>3.57396</v>
      </c>
      <c r="BA57">
        <v>3.4635199999999999</v>
      </c>
      <c r="BB57">
        <v>12.531129999999999</v>
      </c>
      <c r="BC57" s="4">
        <f>Y57-Q57</f>
        <v>0.16975903321370112</v>
      </c>
      <c r="BD57">
        <f t="shared" si="0"/>
        <v>5.2954099999999995</v>
      </c>
    </row>
    <row r="58" spans="1:56" x14ac:dyDescent="0.35">
      <c r="A58" t="s">
        <v>130</v>
      </c>
      <c r="B58" t="s">
        <v>131</v>
      </c>
      <c r="C58" t="s">
        <v>132</v>
      </c>
      <c r="D58" t="s">
        <v>63</v>
      </c>
      <c r="E58">
        <v>41</v>
      </c>
      <c r="F58" t="s">
        <v>402</v>
      </c>
      <c r="G58" s="4">
        <v>14.4089405320096</v>
      </c>
      <c r="H58" s="4">
        <v>13.882528300522599</v>
      </c>
      <c r="I58" s="4">
        <v>13.7737726713651</v>
      </c>
      <c r="J58" s="4">
        <v>10.047331485813899</v>
      </c>
      <c r="K58" s="4">
        <v>11.5055354366093</v>
      </c>
      <c r="L58" s="4">
        <v>12.738942089882601</v>
      </c>
      <c r="M58" s="4">
        <v>15.5346927580441</v>
      </c>
      <c r="N58" s="4">
        <v>12.595069888896001</v>
      </c>
      <c r="O58" s="4">
        <v>10.937720925148</v>
      </c>
      <c r="P58" s="4">
        <v>10.1338112847573</v>
      </c>
      <c r="Q58" s="4">
        <v>11.5097430506365</v>
      </c>
      <c r="R58" s="4">
        <v>13.0620614794307</v>
      </c>
      <c r="S58" s="4">
        <v>11.4514100105719</v>
      </c>
      <c r="T58" s="4">
        <v>14.996236473851001</v>
      </c>
      <c r="U58" s="4">
        <v>12.10627034919</v>
      </c>
      <c r="V58" s="4">
        <v>14.6130674324781</v>
      </c>
      <c r="W58" s="4">
        <v>14.033392763773801</v>
      </c>
      <c r="X58" s="4">
        <v>12.9420869927408</v>
      </c>
      <c r="Y58" s="4">
        <v>13.290397616017</v>
      </c>
      <c r="Z58" s="4">
        <v>14.472698521360901</v>
      </c>
      <c r="AA58" s="4">
        <v>12.9868649603004</v>
      </c>
      <c r="AB58" s="4">
        <v>20.3549993213135</v>
      </c>
      <c r="AC58" s="4">
        <v>10.9803772401307</v>
      </c>
      <c r="AD58" s="4">
        <v>15.042941831076099</v>
      </c>
      <c r="AE58">
        <v>1.90872</v>
      </c>
      <c r="AF58">
        <v>5.6534300000000002</v>
      </c>
      <c r="AG58">
        <v>6.7386799999999996</v>
      </c>
      <c r="AH58" t="s">
        <v>133</v>
      </c>
      <c r="AI58">
        <v>5.2199</v>
      </c>
      <c r="AJ58">
        <v>6.4573200000000002</v>
      </c>
      <c r="AK58">
        <v>1.02701</v>
      </c>
      <c r="AL58">
        <v>11.6221</v>
      </c>
      <c r="AM58">
        <v>13.24916</v>
      </c>
      <c r="AN58">
        <v>2.43065</v>
      </c>
      <c r="AO58">
        <v>0.59511000000000003</v>
      </c>
      <c r="AP58">
        <v>5.23604</v>
      </c>
      <c r="AQ58">
        <v>0.15054999999999999</v>
      </c>
      <c r="AR58">
        <v>-0.84575</v>
      </c>
      <c r="AS58">
        <v>-1.2252700000000001</v>
      </c>
      <c r="AT58">
        <v>7.5672199999999998</v>
      </c>
      <c r="AU58">
        <v>1.80857</v>
      </c>
      <c r="AV58">
        <v>0.61097000000000001</v>
      </c>
      <c r="AW58">
        <v>-1.21461</v>
      </c>
      <c r="AX58">
        <v>-0.16872999999999999</v>
      </c>
      <c r="AY58">
        <v>8.8124199999999995</v>
      </c>
      <c r="AZ58">
        <v>6.2934999999999999</v>
      </c>
      <c r="BA58">
        <v>2.7609400000000002</v>
      </c>
      <c r="BB58">
        <v>12.088179999999999</v>
      </c>
      <c r="BC58" s="4">
        <f>Y58-Q58</f>
        <v>1.7806545653804999</v>
      </c>
      <c r="BD58">
        <f t="shared" si="0"/>
        <v>6.9562499999999998</v>
      </c>
    </row>
    <row r="59" spans="1:56" x14ac:dyDescent="0.35">
      <c r="A59" t="s">
        <v>134</v>
      </c>
      <c r="B59" t="s">
        <v>135</v>
      </c>
      <c r="C59" t="s">
        <v>136</v>
      </c>
      <c r="D59" t="s">
        <v>63</v>
      </c>
      <c r="E59">
        <v>32</v>
      </c>
      <c r="F59" t="s">
        <v>401</v>
      </c>
      <c r="G59" s="4">
        <v>14.4865044953238</v>
      </c>
      <c r="H59" s="4">
        <v>12.691538111683</v>
      </c>
      <c r="I59" s="4">
        <v>13.8783261974332</v>
      </c>
      <c r="J59" s="4">
        <v>9.7102192736023305</v>
      </c>
      <c r="K59" s="4">
        <v>11.5252067272734</v>
      </c>
      <c r="L59" s="4">
        <v>12.9033445103661</v>
      </c>
      <c r="M59" s="4">
        <v>12.1080648485775</v>
      </c>
      <c r="N59" s="4">
        <v>12.349048891901001</v>
      </c>
      <c r="O59" s="4">
        <v>9.8362553014188396</v>
      </c>
      <c r="P59" s="4">
        <v>9.1287981225877601</v>
      </c>
      <c r="Q59" s="4">
        <v>11.858687059917299</v>
      </c>
      <c r="R59" s="4">
        <v>13.9290922908433</v>
      </c>
      <c r="S59" s="4">
        <v>12.606028069203999</v>
      </c>
      <c r="T59" s="4">
        <v>11.5713378811526</v>
      </c>
      <c r="U59" s="4">
        <v>12.372753419473799</v>
      </c>
      <c r="V59" s="4">
        <v>14.966426502146801</v>
      </c>
      <c r="W59" s="4">
        <v>10.805019551749099</v>
      </c>
      <c r="X59" s="4">
        <v>11.5363008961811</v>
      </c>
      <c r="Y59" s="4">
        <v>10.2955935204402</v>
      </c>
      <c r="Z59" s="4">
        <v>13.307800477653201</v>
      </c>
      <c r="AA59" s="4">
        <v>13.939847664467999</v>
      </c>
      <c r="AB59" s="4">
        <v>14.015578552962801</v>
      </c>
      <c r="AC59" s="4">
        <v>10.949779879013001</v>
      </c>
      <c r="AD59" s="4">
        <v>14.374621332229999</v>
      </c>
      <c r="AE59">
        <v>1.76159</v>
      </c>
      <c r="AF59">
        <v>5.1579800000000002</v>
      </c>
      <c r="AG59">
        <v>6.5402199999999997</v>
      </c>
      <c r="AH59" t="s">
        <v>137</v>
      </c>
      <c r="AI59">
        <v>4.5000799999999996</v>
      </c>
      <c r="AJ59">
        <v>6.5694699999999999</v>
      </c>
      <c r="AK59">
        <v>0.82265999999999995</v>
      </c>
      <c r="AL59">
        <v>11.41282</v>
      </c>
      <c r="AM59">
        <v>11.766719999999999</v>
      </c>
      <c r="AN59">
        <v>1.95503</v>
      </c>
      <c r="AO59">
        <v>0.68101</v>
      </c>
      <c r="AP59">
        <v>4.03918</v>
      </c>
      <c r="AQ59">
        <v>9.078E-2</v>
      </c>
      <c r="AR59">
        <v>-0.63990999999999998</v>
      </c>
      <c r="AS59">
        <v>-1.61581</v>
      </c>
      <c r="AT59">
        <v>4.4236899999999997</v>
      </c>
      <c r="AU59">
        <v>0.38324999999999998</v>
      </c>
      <c r="AV59">
        <v>1.36643</v>
      </c>
      <c r="AW59">
        <v>-1.29322</v>
      </c>
      <c r="AX59">
        <v>-0.57423000000000002</v>
      </c>
      <c r="AY59">
        <v>7.8454800000000002</v>
      </c>
      <c r="AZ59">
        <v>2.66737</v>
      </c>
      <c r="BA59">
        <v>2.5771899999999999</v>
      </c>
      <c r="BB59">
        <v>11.39428</v>
      </c>
      <c r="BC59" s="4">
        <f>Y59-Q59</f>
        <v>-1.5630935394770997</v>
      </c>
      <c r="BD59">
        <f t="shared" si="0"/>
        <v>3.0572599999999994</v>
      </c>
    </row>
    <row r="60" spans="1:56" x14ac:dyDescent="0.35">
      <c r="A60" t="s">
        <v>146</v>
      </c>
      <c r="B60" t="s">
        <v>147</v>
      </c>
      <c r="C60" t="s">
        <v>148</v>
      </c>
      <c r="D60" t="s">
        <v>63</v>
      </c>
      <c r="E60">
        <v>44</v>
      </c>
      <c r="F60" t="s">
        <v>401</v>
      </c>
      <c r="G60" s="4">
        <v>15.0109478151017</v>
      </c>
      <c r="H60" s="4">
        <v>13.2495474037205</v>
      </c>
      <c r="I60" s="4">
        <v>14.5683154224983</v>
      </c>
      <c r="J60" s="4">
        <v>11.6500079897224</v>
      </c>
      <c r="K60" s="4">
        <v>12.389962392433601</v>
      </c>
      <c r="L60" s="4">
        <v>14.4541587119871</v>
      </c>
      <c r="M60" s="4">
        <v>13.261363927454401</v>
      </c>
      <c r="N60" s="4">
        <v>14.0166019115147</v>
      </c>
      <c r="O60" s="4">
        <v>10.0924002599346</v>
      </c>
      <c r="P60" s="4">
        <v>12.887675574759401</v>
      </c>
      <c r="Q60" s="4">
        <v>15.5065369626435</v>
      </c>
      <c r="R60" s="4">
        <v>13.6836579928083</v>
      </c>
      <c r="S60" s="4">
        <v>14.7570212858092</v>
      </c>
      <c r="T60" s="4">
        <v>13.480043710596201</v>
      </c>
      <c r="U60" s="4">
        <v>13.377964914601</v>
      </c>
      <c r="V60" s="4">
        <v>15.5822333344949</v>
      </c>
      <c r="W60" s="4">
        <v>12.861054142451399</v>
      </c>
      <c r="X60" s="4">
        <v>14.1460277230551</v>
      </c>
      <c r="Y60" s="4">
        <v>15.109039396204899</v>
      </c>
      <c r="Z60" s="4">
        <v>14.7698522103997</v>
      </c>
      <c r="AA60" s="4">
        <v>15.0583002834698</v>
      </c>
      <c r="AB60" s="4">
        <v>16.329704415231198</v>
      </c>
      <c r="AC60" s="4">
        <v>12.4245328666369</v>
      </c>
      <c r="AD60" s="4">
        <v>15.8738437025232</v>
      </c>
      <c r="AE60">
        <v>1.85229</v>
      </c>
      <c r="AF60">
        <v>7.0943399999999999</v>
      </c>
      <c r="AG60">
        <v>7.7245600000000003</v>
      </c>
      <c r="AH60" t="s">
        <v>149</v>
      </c>
      <c r="AI60">
        <v>6.6117100000000004</v>
      </c>
      <c r="AJ60">
        <v>6.2016</v>
      </c>
      <c r="AK60">
        <v>0.61565000000000003</v>
      </c>
      <c r="AL60">
        <v>12.178380000000001</v>
      </c>
      <c r="AM60">
        <v>12.37134</v>
      </c>
      <c r="AN60">
        <v>2.6970100000000001</v>
      </c>
      <c r="AO60">
        <v>-9.8919999999999994E-2</v>
      </c>
      <c r="AP60">
        <v>7.7815799999999999</v>
      </c>
      <c r="AQ60">
        <v>-0.12325999999999999</v>
      </c>
      <c r="AR60">
        <v>0.46322999999999998</v>
      </c>
      <c r="AS60">
        <v>-0.56994999999999996</v>
      </c>
      <c r="AT60">
        <v>9.1684000000000001</v>
      </c>
      <c r="AU60">
        <v>1.3470500000000001</v>
      </c>
      <c r="AV60">
        <v>4.0408099999999996</v>
      </c>
      <c r="AW60">
        <v>-0.85560999999999998</v>
      </c>
      <c r="AX60">
        <v>2.0753400000000002</v>
      </c>
      <c r="AY60">
        <v>9.1596899999999994</v>
      </c>
      <c r="AZ60">
        <v>5.1366100000000001</v>
      </c>
      <c r="BA60">
        <v>4.1934699999999996</v>
      </c>
      <c r="BB60">
        <v>12.67868</v>
      </c>
      <c r="BC60" s="4">
        <f>Y60-Q60</f>
        <v>-0.39749756643860046</v>
      </c>
      <c r="BD60">
        <f t="shared" si="0"/>
        <v>5.1275900000000005</v>
      </c>
    </row>
    <row r="61" spans="1:56" x14ac:dyDescent="0.35">
      <c r="A61" t="s">
        <v>150</v>
      </c>
      <c r="B61" t="s">
        <v>151</v>
      </c>
      <c r="C61" t="s">
        <v>152</v>
      </c>
      <c r="D61" t="s">
        <v>63</v>
      </c>
      <c r="E61">
        <v>20</v>
      </c>
      <c r="F61" t="s">
        <v>401</v>
      </c>
      <c r="G61" s="4">
        <v>14.2364210594118</v>
      </c>
      <c r="H61" s="4">
        <v>13.4667947108896</v>
      </c>
      <c r="I61" s="4">
        <v>14.35053042707</v>
      </c>
      <c r="J61" s="4">
        <v>10.295319175665</v>
      </c>
      <c r="K61" s="4">
        <v>12.3249214181924</v>
      </c>
      <c r="L61" s="4">
        <v>14.0364078874395</v>
      </c>
      <c r="M61" s="4">
        <v>14.553739268901699</v>
      </c>
      <c r="N61" s="4">
        <v>12.9903548328105</v>
      </c>
      <c r="O61" s="4">
        <v>12.110788055067101</v>
      </c>
      <c r="P61" s="4">
        <v>11.2930830002352</v>
      </c>
      <c r="Q61" s="4">
        <v>14.153406871524</v>
      </c>
      <c r="R61" s="4">
        <v>14.561815625317699</v>
      </c>
      <c r="S61" s="4">
        <v>12.5431573258503</v>
      </c>
      <c r="T61" s="4">
        <v>13.778939308120799</v>
      </c>
      <c r="U61" s="4">
        <v>14.311872517223099</v>
      </c>
      <c r="V61" s="4">
        <v>16.740494829755701</v>
      </c>
      <c r="W61" s="4">
        <v>10.307913511385999</v>
      </c>
      <c r="X61" s="4">
        <v>10.818671818538901</v>
      </c>
      <c r="Y61" s="4">
        <v>13.341287880821</v>
      </c>
      <c r="Z61" s="4">
        <v>15.113640877674399</v>
      </c>
      <c r="AA61" s="4">
        <v>13.671362047393799</v>
      </c>
      <c r="AB61" s="4">
        <v>15.5674144662269</v>
      </c>
      <c r="AC61" s="4">
        <v>11.275273956866</v>
      </c>
      <c r="AD61" s="4">
        <v>14.739577060385001</v>
      </c>
      <c r="AE61">
        <v>1.9555800000000001</v>
      </c>
      <c r="AF61">
        <v>6.3181000000000003</v>
      </c>
      <c r="AG61">
        <v>7.6273299999999997</v>
      </c>
      <c r="AH61" t="s">
        <v>153</v>
      </c>
      <c r="AI61">
        <v>5.8039899999999998</v>
      </c>
      <c r="AJ61">
        <v>6.8931100000000001</v>
      </c>
      <c r="AK61">
        <v>1.5215099999999999</v>
      </c>
      <c r="AL61">
        <v>12.62105</v>
      </c>
      <c r="AM61">
        <v>13.034269999999999</v>
      </c>
      <c r="AN61">
        <v>3.41018</v>
      </c>
      <c r="AO61">
        <v>0.74302999999999997</v>
      </c>
      <c r="AP61">
        <v>6.4666499999999996</v>
      </c>
      <c r="AQ61">
        <v>-9.1520000000000004E-2</v>
      </c>
      <c r="AR61">
        <v>-7.0400000000000004E-2</v>
      </c>
      <c r="AS61">
        <v>-0.46033000000000002</v>
      </c>
      <c r="AT61">
        <v>7.9476599999999999</v>
      </c>
      <c r="AU61">
        <v>2.0161199999999999</v>
      </c>
      <c r="AV61">
        <v>3.8869699999999998</v>
      </c>
      <c r="AW61">
        <v>-1.4805600000000001</v>
      </c>
      <c r="AX61">
        <v>0.21787999999999999</v>
      </c>
      <c r="AY61">
        <v>9.1797699999999995</v>
      </c>
      <c r="AZ61">
        <v>3.8027899999999999</v>
      </c>
      <c r="BA61">
        <v>3.3169499999999998</v>
      </c>
      <c r="BB61">
        <v>12.449630000000001</v>
      </c>
      <c r="BC61" s="4">
        <f>Y61-Q61</f>
        <v>-0.81211899070300042</v>
      </c>
      <c r="BD61">
        <f t="shared" si="0"/>
        <v>4.0606900000000001</v>
      </c>
    </row>
    <row r="62" spans="1:56" x14ac:dyDescent="0.35">
      <c r="A62" t="s">
        <v>170</v>
      </c>
      <c r="B62" t="s">
        <v>171</v>
      </c>
      <c r="C62" t="s">
        <v>172</v>
      </c>
      <c r="D62" t="s">
        <v>63</v>
      </c>
      <c r="E62">
        <v>52</v>
      </c>
      <c r="F62" t="s">
        <v>401</v>
      </c>
      <c r="G62" s="4">
        <v>14.165432560170499</v>
      </c>
      <c r="H62" s="4">
        <v>14.202856934392299</v>
      </c>
      <c r="I62" s="4">
        <v>15.1701997550563</v>
      </c>
      <c r="J62" s="4">
        <v>10.9479501048275</v>
      </c>
      <c r="K62" s="4">
        <v>11.590759774096799</v>
      </c>
      <c r="L62" s="4">
        <v>13.583987213783301</v>
      </c>
      <c r="M62" s="4">
        <v>12.9310592303748</v>
      </c>
      <c r="N62" s="4">
        <v>14.091978713397801</v>
      </c>
      <c r="O62" s="4">
        <v>10.860713407199</v>
      </c>
      <c r="P62" s="4">
        <v>12.0517400295308</v>
      </c>
      <c r="Q62" s="4">
        <v>14.2013366453395</v>
      </c>
      <c r="R62" s="4">
        <v>15.284339535547399</v>
      </c>
      <c r="S62" s="4">
        <v>19.467114546689501</v>
      </c>
      <c r="T62" s="4">
        <v>13.116232718271</v>
      </c>
      <c r="U62" s="4">
        <v>13.966998332301101</v>
      </c>
      <c r="V62" s="4">
        <v>17.446542331363101</v>
      </c>
      <c r="W62" s="4">
        <v>13.7634567600398</v>
      </c>
      <c r="X62" s="4">
        <v>16.287055051525201</v>
      </c>
      <c r="Y62" s="4">
        <v>13.1281293235084</v>
      </c>
      <c r="Z62" s="4">
        <v>14.948605296575799</v>
      </c>
      <c r="AA62" s="4">
        <v>15.174878341207201</v>
      </c>
      <c r="AB62" s="4">
        <v>17.274517858584598</v>
      </c>
      <c r="AC62" s="4">
        <v>12.073906414226499</v>
      </c>
      <c r="AD62" s="4">
        <v>15.7693746555075</v>
      </c>
      <c r="AE62">
        <v>1.89961</v>
      </c>
      <c r="AF62">
        <v>6.5508600000000001</v>
      </c>
      <c r="AG62">
        <v>7.1581799999999998</v>
      </c>
      <c r="AH62" t="s">
        <v>173</v>
      </c>
      <c r="AI62">
        <v>7.1670400000000001</v>
      </c>
      <c r="AJ62">
        <v>6.1214199999999996</v>
      </c>
      <c r="AK62">
        <v>1.61981</v>
      </c>
      <c r="AL62">
        <v>12.64344</v>
      </c>
      <c r="AM62">
        <v>13.590339999999999</v>
      </c>
      <c r="AN62">
        <v>2.2995199999999998</v>
      </c>
      <c r="AO62">
        <v>1.1347</v>
      </c>
      <c r="AP62">
        <v>7.2017899999999999</v>
      </c>
      <c r="AQ62">
        <v>0.23988000000000001</v>
      </c>
      <c r="AR62">
        <v>-0.94313000000000002</v>
      </c>
      <c r="AS62">
        <v>-0.94567999999999997</v>
      </c>
      <c r="AT62">
        <v>7.4044499999999998</v>
      </c>
      <c r="AU62">
        <v>1.5805899999999999</v>
      </c>
      <c r="AV62">
        <v>3.3309799999999998</v>
      </c>
      <c r="AW62">
        <v>-1.05758</v>
      </c>
      <c r="AX62">
        <v>1.65605</v>
      </c>
      <c r="AY62">
        <v>8.8290900000000008</v>
      </c>
      <c r="AZ62">
        <v>6.3420199999999998</v>
      </c>
      <c r="BA62">
        <v>3.9156499999999999</v>
      </c>
      <c r="BB62">
        <v>12.983000000000001</v>
      </c>
      <c r="BC62" s="4">
        <f>Y62-Q62</f>
        <v>-1.0732073218311005</v>
      </c>
      <c r="BD62">
        <f t="shared" si="0"/>
        <v>4.0734700000000004</v>
      </c>
    </row>
    <row r="63" spans="1:56" x14ac:dyDescent="0.35">
      <c r="A63" t="s">
        <v>178</v>
      </c>
      <c r="B63" t="s">
        <v>179</v>
      </c>
      <c r="C63" t="s">
        <v>180</v>
      </c>
      <c r="D63" t="s">
        <v>63</v>
      </c>
      <c r="E63">
        <v>65</v>
      </c>
      <c r="F63" t="s">
        <v>401</v>
      </c>
      <c r="G63" s="4">
        <v>14.736381711184601</v>
      </c>
      <c r="H63" s="4">
        <v>14.4692592493637</v>
      </c>
      <c r="I63" s="4">
        <v>14.1951287311238</v>
      </c>
      <c r="J63" s="4">
        <v>10.167986011980901</v>
      </c>
      <c r="K63" s="4">
        <v>11.962737040799301</v>
      </c>
      <c r="L63" s="4">
        <v>14.3047357130073</v>
      </c>
      <c r="M63" s="4">
        <v>15.161748615478899</v>
      </c>
      <c r="N63" s="4">
        <v>17.094671738121999</v>
      </c>
      <c r="O63" s="4">
        <v>10.287412540076099</v>
      </c>
      <c r="P63" s="4">
        <v>12.783656259196199</v>
      </c>
      <c r="Q63" s="4">
        <v>14.162655776327</v>
      </c>
      <c r="R63" s="4">
        <v>15.346236993413999</v>
      </c>
      <c r="S63" s="4">
        <v>15.5626620225623</v>
      </c>
      <c r="T63" s="4">
        <v>13.717782354302701</v>
      </c>
      <c r="U63" s="4">
        <v>13.5413312632282</v>
      </c>
      <c r="V63" s="4">
        <v>17.504552689457</v>
      </c>
      <c r="W63" s="4">
        <v>12.206960393983</v>
      </c>
      <c r="X63" s="4">
        <v>14.727693226032899</v>
      </c>
      <c r="Y63" s="4">
        <v>14.1444021274673</v>
      </c>
      <c r="Z63" s="4">
        <v>15.754056213975201</v>
      </c>
      <c r="AA63" s="4">
        <v>14.2063386557972</v>
      </c>
      <c r="AB63" s="4">
        <v>15.143377018834199</v>
      </c>
      <c r="AC63" s="4">
        <v>11.711261919701901</v>
      </c>
      <c r="AD63" s="4">
        <v>15.6274122698002</v>
      </c>
      <c r="AE63">
        <v>1.9762200000000001</v>
      </c>
      <c r="AF63">
        <v>6.0605700000000002</v>
      </c>
      <c r="AG63">
        <v>7.3513599999999997</v>
      </c>
      <c r="AH63" t="s">
        <v>181</v>
      </c>
      <c r="AI63">
        <v>10.255000000000001</v>
      </c>
      <c r="AJ63">
        <v>7.11876</v>
      </c>
      <c r="AK63">
        <v>1.7252799999999999</v>
      </c>
      <c r="AL63">
        <v>12.37481</v>
      </c>
      <c r="AM63">
        <v>13.9428</v>
      </c>
      <c r="AN63">
        <v>3.2341799999999998</v>
      </c>
      <c r="AO63">
        <v>2.3108499999999998</v>
      </c>
      <c r="AP63">
        <v>7.7528699999999997</v>
      </c>
      <c r="AQ63">
        <v>4.233E-2</v>
      </c>
      <c r="AR63">
        <v>0.97304999999999997</v>
      </c>
      <c r="AS63">
        <v>-8.6019999999999999E-2</v>
      </c>
      <c r="AT63">
        <v>8.4847800000000007</v>
      </c>
      <c r="AU63">
        <v>2.3133699999999999</v>
      </c>
      <c r="AV63">
        <v>3.74342</v>
      </c>
      <c r="AW63">
        <v>-0.61858000000000002</v>
      </c>
      <c r="AX63">
        <v>-0.92827000000000004</v>
      </c>
      <c r="AY63">
        <v>9.9361800000000002</v>
      </c>
      <c r="AZ63">
        <v>2.9775900000000002</v>
      </c>
      <c r="BA63">
        <v>3.7519200000000001</v>
      </c>
      <c r="BB63">
        <v>13.05278</v>
      </c>
      <c r="BC63" s="4">
        <f>Y63-Q63</f>
        <v>-1.8253648859699823E-2</v>
      </c>
      <c r="BD63">
        <f t="shared" si="0"/>
        <v>4.7413600000000002</v>
      </c>
    </row>
    <row r="64" spans="1:56" x14ac:dyDescent="0.35">
      <c r="A64" t="s">
        <v>186</v>
      </c>
      <c r="B64" t="s">
        <v>187</v>
      </c>
      <c r="C64" t="s">
        <v>188</v>
      </c>
      <c r="D64" t="s">
        <v>63</v>
      </c>
      <c r="E64">
        <v>73</v>
      </c>
      <c r="F64" t="s">
        <v>401</v>
      </c>
      <c r="G64" s="4">
        <v>14.697830323072701</v>
      </c>
      <c r="H64" s="4">
        <v>12.208828963137501</v>
      </c>
      <c r="I64" s="4">
        <v>13.937182691835</v>
      </c>
      <c r="J64" s="4">
        <v>9.1903305813627103</v>
      </c>
      <c r="K64" s="4">
        <v>10.311302406801101</v>
      </c>
      <c r="L64" s="4">
        <v>12.816987852814499</v>
      </c>
      <c r="M64" s="4">
        <v>13.1963785359135</v>
      </c>
      <c r="N64" s="4">
        <v>12.078963977328799</v>
      </c>
      <c r="O64" s="4">
        <v>10.1334784489989</v>
      </c>
      <c r="P64" s="4">
        <v>9.9282389879967194</v>
      </c>
      <c r="Q64" s="4">
        <v>13.902546156963799</v>
      </c>
      <c r="R64" s="4">
        <v>14.449498161097001</v>
      </c>
      <c r="S64" s="4">
        <v>11.665226542151</v>
      </c>
      <c r="T64" s="4">
        <v>11.850826057580599</v>
      </c>
      <c r="U64" s="4">
        <v>11.304519359074201</v>
      </c>
      <c r="V64" s="4">
        <v>17.866709691543701</v>
      </c>
      <c r="W64" s="4">
        <v>10.535742671498699</v>
      </c>
      <c r="X64" s="4">
        <v>14.3345971781982</v>
      </c>
      <c r="Y64" s="4">
        <v>13.843594250680599</v>
      </c>
      <c r="Z64" s="4">
        <v>12.6656315422389</v>
      </c>
      <c r="AA64" s="4">
        <v>13.4980560296846</v>
      </c>
      <c r="AB64" s="4">
        <v>13.627151998100899</v>
      </c>
      <c r="AC64" s="4">
        <v>10.2214259891186</v>
      </c>
      <c r="AD64" s="4">
        <v>14.5286797167033</v>
      </c>
      <c r="AE64">
        <v>2.0605500000000001</v>
      </c>
      <c r="AF64">
        <v>5.49885</v>
      </c>
      <c r="AG64">
        <v>6.5736299999999996</v>
      </c>
      <c r="AH64" t="s">
        <v>189</v>
      </c>
      <c r="AI64">
        <v>6.1430999999999996</v>
      </c>
      <c r="AJ64">
        <v>6.9561299999999999</v>
      </c>
      <c r="AK64">
        <v>1.8673</v>
      </c>
      <c r="AL64">
        <v>12.63616</v>
      </c>
      <c r="AM64">
        <v>12.018829999999999</v>
      </c>
      <c r="AN64">
        <v>3.9565199999999998</v>
      </c>
      <c r="AO64">
        <v>2.3272599999999999</v>
      </c>
      <c r="AP64">
        <v>5.8856799999999998</v>
      </c>
      <c r="AQ64">
        <v>-0.22167000000000001</v>
      </c>
      <c r="AR64">
        <v>0.22681999999999999</v>
      </c>
      <c r="AS64">
        <v>-0.87068999999999996</v>
      </c>
      <c r="AT64">
        <v>8.5869999999999997</v>
      </c>
      <c r="AU64">
        <v>0.40033999999999997</v>
      </c>
      <c r="AV64">
        <v>3.83371</v>
      </c>
      <c r="AW64">
        <v>-0.66966000000000003</v>
      </c>
      <c r="AX64">
        <v>-0.62817000000000001</v>
      </c>
      <c r="AY64">
        <v>8.8972899999999999</v>
      </c>
      <c r="AZ64">
        <v>3.5253700000000001</v>
      </c>
      <c r="BA64">
        <v>3.1304500000000002</v>
      </c>
      <c r="BB64">
        <v>12.63466</v>
      </c>
      <c r="BC64" s="4">
        <f>Y64-Q64</f>
        <v>-5.8951906283200017E-2</v>
      </c>
      <c r="BD64">
        <f t="shared" si="0"/>
        <v>4.7532899999999998</v>
      </c>
    </row>
    <row r="65" spans="1:56" x14ac:dyDescent="0.35">
      <c r="A65" t="s">
        <v>202</v>
      </c>
      <c r="B65" t="s">
        <v>203</v>
      </c>
      <c r="C65" t="s">
        <v>204</v>
      </c>
      <c r="D65" t="s">
        <v>63</v>
      </c>
      <c r="E65">
        <v>56</v>
      </c>
      <c r="F65" t="s">
        <v>401</v>
      </c>
      <c r="G65" s="4">
        <v>13.9961029152603</v>
      </c>
      <c r="H65" s="4">
        <v>13.1524717705621</v>
      </c>
      <c r="I65" s="4">
        <v>14.216889435008</v>
      </c>
      <c r="J65" s="4">
        <v>10.752286439154799</v>
      </c>
      <c r="K65" s="4">
        <v>12.453431892207201</v>
      </c>
      <c r="L65" s="4">
        <v>14.5627782281266</v>
      </c>
      <c r="M65" s="4">
        <v>12.590275235244</v>
      </c>
      <c r="N65" s="4">
        <v>12.6447414612114</v>
      </c>
      <c r="O65" s="4">
        <v>8.9176894097008592</v>
      </c>
      <c r="P65" s="4">
        <v>11.1354562442244</v>
      </c>
      <c r="Q65" s="4">
        <v>15.961727342596699</v>
      </c>
      <c r="R65" s="4">
        <v>14.9773937393959</v>
      </c>
      <c r="S65" s="4">
        <v>12.9418563626799</v>
      </c>
      <c r="T65" s="4">
        <v>11.393182407499401</v>
      </c>
      <c r="U65" s="4">
        <v>14.017805648751301</v>
      </c>
      <c r="V65" s="4">
        <v>16.557308366813999</v>
      </c>
      <c r="W65" s="4">
        <v>12.2348258395283</v>
      </c>
      <c r="X65" s="4">
        <v>14.284012933971701</v>
      </c>
      <c r="Y65" s="4">
        <v>13.381038174870101</v>
      </c>
      <c r="Z65" s="4">
        <v>13.417792677045799</v>
      </c>
      <c r="AA65" s="4">
        <v>13.736533304027001</v>
      </c>
      <c r="AB65" s="4">
        <v>15.1746118562485</v>
      </c>
      <c r="AC65" s="4">
        <v>11.7256350321819</v>
      </c>
      <c r="AD65" s="4">
        <v>15.6249747999554</v>
      </c>
      <c r="AE65">
        <v>1.8295600000000001</v>
      </c>
      <c r="AF65">
        <v>6.5820699999999999</v>
      </c>
      <c r="AG65">
        <v>7.9657600000000004</v>
      </c>
      <c r="AH65" t="s">
        <v>205</v>
      </c>
      <c r="AI65">
        <v>5.2641299999999998</v>
      </c>
      <c r="AJ65">
        <v>6.0063800000000001</v>
      </c>
      <c r="AK65">
        <v>0.85180999999999996</v>
      </c>
      <c r="AL65">
        <v>12.27373</v>
      </c>
      <c r="AM65">
        <v>12.435560000000001</v>
      </c>
      <c r="AN65">
        <v>3.9657200000000001</v>
      </c>
      <c r="AO65">
        <v>1.31219</v>
      </c>
      <c r="AP65">
        <v>6.3543000000000003</v>
      </c>
      <c r="AQ65">
        <v>-0.66212000000000004</v>
      </c>
      <c r="AR65">
        <v>0.20443</v>
      </c>
      <c r="AS65">
        <v>-1.03485</v>
      </c>
      <c r="AT65">
        <v>9.2688799999999993</v>
      </c>
      <c r="AU65">
        <v>0.60626000000000002</v>
      </c>
      <c r="AV65">
        <v>5.2274500000000002</v>
      </c>
      <c r="AW65">
        <v>-0.85206000000000004</v>
      </c>
      <c r="AX65">
        <v>-0.38930999999999999</v>
      </c>
      <c r="AY65">
        <v>9.6402099999999997</v>
      </c>
      <c r="AZ65">
        <v>3.8087599999999999</v>
      </c>
      <c r="BA65">
        <v>3.9652500000000002</v>
      </c>
      <c r="BB65">
        <v>12.86317</v>
      </c>
      <c r="BC65" s="4">
        <f>Y65-Q65</f>
        <v>-2.5806891677265984</v>
      </c>
      <c r="BD65">
        <f t="shared" si="0"/>
        <v>4.0414299999999992</v>
      </c>
    </row>
    <row r="66" spans="1:56" x14ac:dyDescent="0.35">
      <c r="A66" t="s">
        <v>226</v>
      </c>
      <c r="B66" t="s">
        <v>227</v>
      </c>
      <c r="C66" t="s">
        <v>228</v>
      </c>
      <c r="D66" t="s">
        <v>63</v>
      </c>
      <c r="E66">
        <v>39</v>
      </c>
      <c r="F66" t="s">
        <v>401</v>
      </c>
      <c r="G66" s="4">
        <v>14.7038797185647</v>
      </c>
      <c r="H66" s="4">
        <v>12.860502667116901</v>
      </c>
      <c r="I66" s="4">
        <v>14.9975567384296</v>
      </c>
      <c r="J66" s="4">
        <v>11.1800841198674</v>
      </c>
      <c r="K66" s="4">
        <v>12.479523529402799</v>
      </c>
      <c r="L66" s="4">
        <v>13.4303034435512</v>
      </c>
      <c r="M66" s="4">
        <v>12.9874152278125</v>
      </c>
      <c r="N66" s="4">
        <v>15.7365879561887</v>
      </c>
      <c r="O66" s="4">
        <v>9.2503239858753901</v>
      </c>
      <c r="P66" s="4">
        <v>14.4148393494321</v>
      </c>
      <c r="Q66" s="4">
        <v>14.524948978964201</v>
      </c>
      <c r="R66" s="4">
        <v>15.78191259269</v>
      </c>
      <c r="S66" s="4">
        <v>13.896448655289101</v>
      </c>
      <c r="T66" s="4">
        <v>12.287232614682599</v>
      </c>
      <c r="U66" s="4">
        <v>14.7746757847911</v>
      </c>
      <c r="V66" s="4">
        <v>15.6317675786399</v>
      </c>
      <c r="W66" s="4">
        <v>13.134185118451899</v>
      </c>
      <c r="X66" s="4">
        <v>17.761152410672199</v>
      </c>
      <c r="Y66" s="4">
        <v>16.3147939200501</v>
      </c>
      <c r="Z66" s="4">
        <v>14.067551409104</v>
      </c>
      <c r="AA66" s="4">
        <v>13.813413383053</v>
      </c>
      <c r="AB66" s="4">
        <v>15.087404293094499</v>
      </c>
      <c r="AC66" s="4">
        <v>11.889162182492401</v>
      </c>
      <c r="AD66" s="4">
        <v>15.319707599026099</v>
      </c>
      <c r="AE66">
        <v>1.9677899999999999</v>
      </c>
      <c r="AF66">
        <v>6.7212100000000001</v>
      </c>
      <c r="AG66">
        <v>7.5117799999999999</v>
      </c>
      <c r="AH66" t="s">
        <v>229</v>
      </c>
      <c r="AI66">
        <v>8.9130800000000008</v>
      </c>
      <c r="AJ66">
        <v>6.27949</v>
      </c>
      <c r="AK66">
        <v>1.25004</v>
      </c>
      <c r="AL66">
        <v>12.85005</v>
      </c>
      <c r="AM66">
        <v>12.300929999999999</v>
      </c>
      <c r="AN66">
        <v>3.0389200000000001</v>
      </c>
      <c r="AO66">
        <v>0.79315000000000002</v>
      </c>
      <c r="AP66">
        <v>9.6181800000000006</v>
      </c>
      <c r="AQ66">
        <v>0.36358000000000001</v>
      </c>
      <c r="AR66">
        <v>-0.72004999999999997</v>
      </c>
      <c r="AS66">
        <v>-0.30485000000000001</v>
      </c>
      <c r="AT66">
        <v>10.576040000000001</v>
      </c>
      <c r="AU66">
        <v>1.2210000000000001</v>
      </c>
      <c r="AV66">
        <v>3.7155100000000001</v>
      </c>
      <c r="AW66">
        <v>-0.56888000000000005</v>
      </c>
      <c r="AX66">
        <v>0.86873</v>
      </c>
      <c r="AY66">
        <v>9.7567199999999996</v>
      </c>
      <c r="AZ66">
        <v>3.7747999999999999</v>
      </c>
      <c r="BA66">
        <v>3.2992400000000002</v>
      </c>
      <c r="BB66">
        <v>12.851369999999999</v>
      </c>
      <c r="BC66" s="4">
        <f>Y66-Q66</f>
        <v>1.7898449410858994</v>
      </c>
      <c r="BD66">
        <f t="shared" ref="BD66:BD87" si="1">AT66-AV66</f>
        <v>6.8605300000000007</v>
      </c>
    </row>
    <row r="67" spans="1:56" x14ac:dyDescent="0.35">
      <c r="A67" t="s">
        <v>230</v>
      </c>
      <c r="B67" t="s">
        <v>231</v>
      </c>
      <c r="C67" t="s">
        <v>232</v>
      </c>
      <c r="D67" t="s">
        <v>63</v>
      </c>
      <c r="E67">
        <v>24</v>
      </c>
      <c r="F67" t="s">
        <v>401</v>
      </c>
      <c r="G67" s="4">
        <v>14.426982986792501</v>
      </c>
      <c r="H67" s="4">
        <v>13.895955317253099</v>
      </c>
      <c r="I67" s="4">
        <v>12.1164470126637</v>
      </c>
      <c r="J67" s="4">
        <v>8.6510593614014297</v>
      </c>
      <c r="K67" s="4">
        <v>10.765461146786199</v>
      </c>
      <c r="L67" s="4">
        <v>13.1198640478869</v>
      </c>
      <c r="M67" s="4">
        <v>13.792314069283901</v>
      </c>
      <c r="N67" s="4">
        <v>13.0571286138145</v>
      </c>
      <c r="O67" s="4">
        <v>11.7025941160258</v>
      </c>
      <c r="P67" s="4">
        <v>10.7352390310116</v>
      </c>
      <c r="Q67" s="4">
        <v>11.8720271182647</v>
      </c>
      <c r="R67" s="4">
        <v>10.9598561738536</v>
      </c>
      <c r="S67" s="4">
        <v>13.3131332532447</v>
      </c>
      <c r="T67" s="4">
        <v>12.1650683985065</v>
      </c>
      <c r="U67" s="4">
        <v>12.553366488936501</v>
      </c>
      <c r="V67" s="4">
        <v>13.4991685516146</v>
      </c>
      <c r="W67" s="4">
        <v>12.5541776594414</v>
      </c>
      <c r="X67" s="4">
        <v>11.672555956350401</v>
      </c>
      <c r="Y67" s="4">
        <v>10.4853854787778</v>
      </c>
      <c r="Z67" s="4">
        <v>14.4203256978548</v>
      </c>
      <c r="AA67" s="4">
        <v>14.5865212292936</v>
      </c>
      <c r="AB67" s="4">
        <v>16.1093163453708</v>
      </c>
      <c r="AC67" s="4">
        <v>10.8048335549939</v>
      </c>
      <c r="AD67" s="4">
        <v>14.7170958822716</v>
      </c>
      <c r="AE67">
        <v>1.9484699999999999</v>
      </c>
      <c r="AF67">
        <v>4.6284400000000003</v>
      </c>
      <c r="AG67">
        <v>6.1812899999999997</v>
      </c>
      <c r="AH67" t="s">
        <v>233</v>
      </c>
      <c r="AI67">
        <v>5.7427099999999998</v>
      </c>
      <c r="AJ67">
        <v>6.6432700000000002</v>
      </c>
      <c r="AK67">
        <v>0.71128000000000002</v>
      </c>
      <c r="AL67">
        <v>10.49159</v>
      </c>
      <c r="AM67">
        <v>13.38292</v>
      </c>
      <c r="AN67">
        <v>3.0833900000000001</v>
      </c>
      <c r="AO67">
        <v>1.95384</v>
      </c>
      <c r="AP67">
        <v>6.1942599999999999</v>
      </c>
      <c r="AQ67">
        <v>0.23699000000000001</v>
      </c>
      <c r="AR67">
        <v>-1.0298</v>
      </c>
      <c r="AS67">
        <v>0.36653000000000002</v>
      </c>
      <c r="AT67">
        <v>5.0528599999999999</v>
      </c>
      <c r="AU67">
        <v>1.542</v>
      </c>
      <c r="AV67">
        <v>1.8365899999999999</v>
      </c>
      <c r="AW67">
        <v>1.3358699999999999</v>
      </c>
      <c r="AX67">
        <v>-0.14992</v>
      </c>
      <c r="AY67">
        <v>8.6562800000000006</v>
      </c>
      <c r="AZ67">
        <v>4.9229000000000003</v>
      </c>
      <c r="BA67">
        <v>3.15577</v>
      </c>
      <c r="BB67">
        <v>11.926130000000001</v>
      </c>
      <c r="BC67" s="4">
        <f>Y67-Q67</f>
        <v>-1.3866416394868999</v>
      </c>
      <c r="BD67">
        <f t="shared" si="1"/>
        <v>3.2162699999999997</v>
      </c>
    </row>
    <row r="68" spans="1:56" x14ac:dyDescent="0.35">
      <c r="A68" t="s">
        <v>242</v>
      </c>
      <c r="B68" t="s">
        <v>243</v>
      </c>
      <c r="C68" t="s">
        <v>244</v>
      </c>
      <c r="D68" t="s">
        <v>63</v>
      </c>
      <c r="E68">
        <v>19</v>
      </c>
      <c r="F68" t="s">
        <v>402</v>
      </c>
      <c r="G68" s="4">
        <v>13.753525162582401</v>
      </c>
      <c r="H68" s="4">
        <v>13.202250364915701</v>
      </c>
      <c r="I68" s="4">
        <v>13.8838368878148</v>
      </c>
      <c r="J68" s="4">
        <v>10.6568162577127</v>
      </c>
      <c r="K68" s="4">
        <v>12.552971085464099</v>
      </c>
      <c r="L68" s="4">
        <v>13.3149192071344</v>
      </c>
      <c r="M68" s="4">
        <v>12.713271431647099</v>
      </c>
      <c r="N68" s="4">
        <v>13.6211078682406</v>
      </c>
      <c r="O68" s="4">
        <v>12.577884191262999</v>
      </c>
      <c r="P68" s="4">
        <v>15.4356706120256</v>
      </c>
      <c r="Q68" s="4">
        <v>13.8231164381283</v>
      </c>
      <c r="R68" s="4">
        <v>13.4932260897181</v>
      </c>
      <c r="S68" s="4">
        <v>14.7411846444753</v>
      </c>
      <c r="T68" s="4">
        <v>12.862252004599799</v>
      </c>
      <c r="U68" s="4">
        <v>15.865990126348199</v>
      </c>
      <c r="V68" s="4">
        <v>15.1815992028656</v>
      </c>
      <c r="W68" s="4">
        <v>13.8355188791764</v>
      </c>
      <c r="X68" s="4">
        <v>12.7867554013242</v>
      </c>
      <c r="Y68" s="4">
        <v>12.3362941691071</v>
      </c>
      <c r="Z68" s="4">
        <v>14.6609193855783</v>
      </c>
      <c r="AA68" s="4">
        <v>13.9452684181992</v>
      </c>
      <c r="AB68" s="4">
        <v>14.679720720845101</v>
      </c>
      <c r="AC68" s="4">
        <v>11.9401392607656</v>
      </c>
      <c r="AD68" s="4">
        <v>14.544280191460601</v>
      </c>
      <c r="AE68">
        <v>1.7202299999999999</v>
      </c>
      <c r="AF68">
        <v>6.74573</v>
      </c>
      <c r="AG68">
        <v>8.2032699999999998</v>
      </c>
      <c r="AH68" t="s">
        <v>245</v>
      </c>
      <c r="AI68">
        <v>6.8428800000000001</v>
      </c>
      <c r="AJ68">
        <v>6.4509499999999997</v>
      </c>
      <c r="AK68">
        <v>0.65910000000000002</v>
      </c>
      <c r="AL68">
        <v>12.39874</v>
      </c>
      <c r="AM68">
        <v>12.661110000000001</v>
      </c>
      <c r="AN68">
        <v>3.1868599999999998</v>
      </c>
      <c r="AO68">
        <v>1.1628400000000001</v>
      </c>
      <c r="AP68">
        <v>10.66699</v>
      </c>
      <c r="AQ68">
        <v>-0.47327000000000002</v>
      </c>
      <c r="AR68">
        <v>0.32638</v>
      </c>
      <c r="AS68">
        <v>-0.62343999999999999</v>
      </c>
      <c r="AT68">
        <v>6.9356900000000001</v>
      </c>
      <c r="AU68">
        <v>1.54965</v>
      </c>
      <c r="AV68">
        <v>3.3208199999999999</v>
      </c>
      <c r="AW68">
        <v>-0.73562000000000005</v>
      </c>
      <c r="AX68">
        <v>1.2989299999999999</v>
      </c>
      <c r="AY68">
        <v>8.8387499999999992</v>
      </c>
      <c r="AZ68">
        <v>3.3750900000000001</v>
      </c>
      <c r="BA68">
        <v>3.9808300000000001</v>
      </c>
      <c r="BB68">
        <v>12.175649999999999</v>
      </c>
      <c r="BC68" s="4">
        <f>Y68-Q68</f>
        <v>-1.4868222690212001</v>
      </c>
      <c r="BD68">
        <f t="shared" si="1"/>
        <v>3.6148700000000002</v>
      </c>
    </row>
    <row r="69" spans="1:56" x14ac:dyDescent="0.35">
      <c r="A69" t="s">
        <v>250</v>
      </c>
      <c r="B69" t="s">
        <v>251</v>
      </c>
      <c r="C69" t="s">
        <v>252</v>
      </c>
      <c r="D69" t="s">
        <v>63</v>
      </c>
      <c r="E69">
        <v>23</v>
      </c>
      <c r="F69" t="s">
        <v>402</v>
      </c>
      <c r="G69" s="4">
        <v>14.590280353062001</v>
      </c>
      <c r="H69" s="4">
        <v>13.8657696436031</v>
      </c>
      <c r="I69" s="4">
        <v>17.342421488855202</v>
      </c>
      <c r="J69" s="4">
        <v>10.6291366371664</v>
      </c>
      <c r="K69" s="4">
        <v>12.3779293136267</v>
      </c>
      <c r="L69" s="4">
        <v>13.2777095206364</v>
      </c>
      <c r="M69" s="4">
        <v>12.931050609356401</v>
      </c>
      <c r="N69" s="4">
        <v>14.694971015312801</v>
      </c>
      <c r="O69" s="4">
        <v>14.0428464450981</v>
      </c>
      <c r="P69" s="4">
        <v>12.8722057187969</v>
      </c>
      <c r="Q69" s="4">
        <v>13.4583129178048</v>
      </c>
      <c r="R69" s="4">
        <v>17.067304369336199</v>
      </c>
      <c r="S69" s="4">
        <v>14.4094192421065</v>
      </c>
      <c r="T69" s="4">
        <v>10.872286947439401</v>
      </c>
      <c r="U69" s="4">
        <v>13.367822929988201</v>
      </c>
      <c r="V69" s="4">
        <v>16.9706428497263</v>
      </c>
      <c r="W69" s="4">
        <v>13.1239975711315</v>
      </c>
      <c r="X69" s="4">
        <v>19.520434125455399</v>
      </c>
      <c r="Y69" s="4">
        <v>14.397057226014001</v>
      </c>
      <c r="Z69" s="4">
        <v>13.1184604580589</v>
      </c>
      <c r="AA69" s="4">
        <v>14.2156902949928</v>
      </c>
      <c r="AB69" s="4">
        <v>16.8625857617109</v>
      </c>
      <c r="AC69" s="4">
        <v>11.91947544676</v>
      </c>
      <c r="AD69" s="4">
        <v>15.449001049989</v>
      </c>
      <c r="AE69">
        <v>2.1658900000000001</v>
      </c>
      <c r="AF69">
        <v>6.5107600000000003</v>
      </c>
      <c r="AG69">
        <v>7.7023200000000003</v>
      </c>
      <c r="AH69" t="s">
        <v>253</v>
      </c>
      <c r="AI69">
        <v>8.0781299999999998</v>
      </c>
      <c r="AJ69">
        <v>6.6727600000000002</v>
      </c>
      <c r="AK69">
        <v>1.9388300000000001</v>
      </c>
      <c r="AL69">
        <v>14.703200000000001</v>
      </c>
      <c r="AM69">
        <v>13.616770000000001</v>
      </c>
      <c r="AN69">
        <v>2.91818</v>
      </c>
      <c r="AO69">
        <v>1.4290499999999999</v>
      </c>
      <c r="AP69">
        <v>8.2638999999999996</v>
      </c>
      <c r="AQ69">
        <v>1.06586</v>
      </c>
      <c r="AR69">
        <v>4.9669999999999999E-2</v>
      </c>
      <c r="AS69">
        <v>0.58138999999999996</v>
      </c>
      <c r="AT69">
        <v>8.9287299999999998</v>
      </c>
      <c r="AU69">
        <v>0.90790000000000004</v>
      </c>
      <c r="AV69">
        <v>2.8471600000000001</v>
      </c>
      <c r="AW69">
        <v>-0.37065999999999999</v>
      </c>
      <c r="AX69">
        <v>0.89905999999999997</v>
      </c>
      <c r="AY69">
        <v>9.1790000000000003</v>
      </c>
      <c r="AZ69">
        <v>5.6496199999999996</v>
      </c>
      <c r="BA69">
        <v>3.8802699999999999</v>
      </c>
      <c r="BB69">
        <v>12.97847</v>
      </c>
      <c r="BC69" s="4">
        <f>Y69-Q69</f>
        <v>0.93874430820920018</v>
      </c>
      <c r="BD69">
        <f t="shared" si="1"/>
        <v>6.0815699999999993</v>
      </c>
    </row>
    <row r="70" spans="1:56" x14ac:dyDescent="0.35">
      <c r="A70" t="s">
        <v>254</v>
      </c>
      <c r="B70" t="s">
        <v>255</v>
      </c>
      <c r="C70" t="s">
        <v>256</v>
      </c>
      <c r="D70" t="s">
        <v>63</v>
      </c>
      <c r="E70">
        <v>70</v>
      </c>
      <c r="F70" t="s">
        <v>401</v>
      </c>
      <c r="G70" s="4">
        <v>15.3271986542811</v>
      </c>
      <c r="H70" s="4">
        <v>13.954352206477999</v>
      </c>
      <c r="I70" s="4">
        <v>13.9506557651076</v>
      </c>
      <c r="J70" s="4">
        <v>9.7026768846666993</v>
      </c>
      <c r="K70" s="4">
        <v>10.383505804601199</v>
      </c>
      <c r="L70" s="4">
        <v>12.897314054076499</v>
      </c>
      <c r="M70" s="4">
        <v>12.3492570320309</v>
      </c>
      <c r="N70" s="4">
        <v>12.9641043128153</v>
      </c>
      <c r="O70" s="4">
        <v>10.027717115799501</v>
      </c>
      <c r="P70" s="4">
        <v>10.780553297414899</v>
      </c>
      <c r="Q70" s="4">
        <v>11.709048571202599</v>
      </c>
      <c r="R70" s="4">
        <v>13.4310274850166</v>
      </c>
      <c r="S70" s="4">
        <v>13.4889327058382</v>
      </c>
      <c r="T70" s="4">
        <v>12.028768428069</v>
      </c>
      <c r="U70" s="4">
        <v>12.666229804037499</v>
      </c>
      <c r="V70" s="4">
        <v>14.3303108991815</v>
      </c>
      <c r="W70" s="4">
        <v>13.1333160344672</v>
      </c>
      <c r="X70" s="4">
        <v>12.9058699258657</v>
      </c>
      <c r="Y70" s="4">
        <v>10.1050475644132</v>
      </c>
      <c r="Z70" s="4">
        <v>13.821683753040199</v>
      </c>
      <c r="AA70" s="4">
        <v>13.896451592705199</v>
      </c>
      <c r="AB70" s="4">
        <v>13.8191082409289</v>
      </c>
      <c r="AC70" s="4">
        <v>11.0867150326869</v>
      </c>
      <c r="AD70" s="4">
        <v>15.1615056730619</v>
      </c>
      <c r="AE70">
        <v>1.8174699999999999</v>
      </c>
      <c r="AF70">
        <v>5.4923900000000003</v>
      </c>
      <c r="AG70">
        <v>6.3720400000000001</v>
      </c>
      <c r="AH70" t="s">
        <v>257</v>
      </c>
      <c r="AI70">
        <v>5.8863300000000001</v>
      </c>
      <c r="AJ70">
        <v>7.5170300000000001</v>
      </c>
      <c r="AK70">
        <v>0.86073999999999995</v>
      </c>
      <c r="AL70">
        <v>11.81461</v>
      </c>
      <c r="AM70">
        <v>13.508380000000001</v>
      </c>
      <c r="AN70">
        <v>3.1004900000000002</v>
      </c>
      <c r="AO70">
        <v>1.50343</v>
      </c>
      <c r="AP70">
        <v>6.0149400000000002</v>
      </c>
      <c r="AQ70">
        <v>1.8169999999999999E-2</v>
      </c>
      <c r="AR70">
        <v>-9.6820000000000003E-2</v>
      </c>
      <c r="AS70">
        <v>-1.4045300000000001</v>
      </c>
      <c r="AT70">
        <v>4.5869200000000001</v>
      </c>
      <c r="AU70">
        <v>1.1641699999999999</v>
      </c>
      <c r="AV70">
        <v>1.80399</v>
      </c>
      <c r="AW70">
        <v>-1.17069</v>
      </c>
      <c r="AX70">
        <v>-1.116E-2</v>
      </c>
      <c r="AY70">
        <v>9.0531000000000006</v>
      </c>
      <c r="AZ70">
        <v>2.4195099999999998</v>
      </c>
      <c r="BA70">
        <v>3.1873999999999998</v>
      </c>
      <c r="BB70">
        <v>12.2241</v>
      </c>
      <c r="BC70" s="4">
        <f>Y70-Q70</f>
        <v>-1.6040010067893995</v>
      </c>
      <c r="BD70">
        <f t="shared" si="1"/>
        <v>2.7829300000000003</v>
      </c>
    </row>
    <row r="71" spans="1:56" x14ac:dyDescent="0.35">
      <c r="A71" t="s">
        <v>258</v>
      </c>
      <c r="B71" t="s">
        <v>259</v>
      </c>
      <c r="C71" t="s">
        <v>260</v>
      </c>
      <c r="D71" t="s">
        <v>63</v>
      </c>
      <c r="E71">
        <v>47</v>
      </c>
      <c r="F71" t="s">
        <v>401</v>
      </c>
      <c r="G71" s="4">
        <v>15.0404337751007</v>
      </c>
      <c r="H71" s="4">
        <v>14.473748974051199</v>
      </c>
      <c r="I71" s="4">
        <v>15.8920181206578</v>
      </c>
      <c r="J71" s="4">
        <v>11.604413713217999</v>
      </c>
      <c r="K71" s="4">
        <v>13.8408838733619</v>
      </c>
      <c r="L71" s="4">
        <v>13.5283298550114</v>
      </c>
      <c r="M71" s="4">
        <v>14.1708846182865</v>
      </c>
      <c r="N71" s="4">
        <v>13.972676204270201</v>
      </c>
      <c r="O71" s="4">
        <v>14.885004624403299</v>
      </c>
      <c r="P71" s="4">
        <v>11.100318045839</v>
      </c>
      <c r="Q71" s="4">
        <v>13.8480690663533</v>
      </c>
      <c r="R71" s="4">
        <v>14.659577911984</v>
      </c>
      <c r="S71" s="4">
        <v>13.324476148715901</v>
      </c>
      <c r="T71" s="4">
        <v>13.3758020228963</v>
      </c>
      <c r="U71" s="4">
        <v>13.849522183583201</v>
      </c>
      <c r="V71" s="4">
        <v>15.8746976572682</v>
      </c>
      <c r="W71" s="4">
        <v>12.9616007775666</v>
      </c>
      <c r="X71" s="4">
        <v>17.1365576886712</v>
      </c>
      <c r="Y71" s="4">
        <v>14.207398364879401</v>
      </c>
      <c r="Z71" s="4">
        <v>14.6522856350956</v>
      </c>
      <c r="AA71" s="4">
        <v>14.4512180093705</v>
      </c>
      <c r="AB71" s="4">
        <v>15.407330618363201</v>
      </c>
      <c r="AC71" s="4">
        <v>12.216889501660001</v>
      </c>
      <c r="AD71" s="4">
        <v>15.182693366345401</v>
      </c>
      <c r="AE71">
        <v>2.0304899999999999</v>
      </c>
      <c r="AF71">
        <v>7.6411600000000002</v>
      </c>
      <c r="AG71">
        <v>9.4347200000000004</v>
      </c>
      <c r="AH71" t="s">
        <v>261</v>
      </c>
      <c r="AI71">
        <v>7.4728300000000001</v>
      </c>
      <c r="AJ71">
        <v>7.4464399999999999</v>
      </c>
      <c r="AK71">
        <v>1.42866</v>
      </c>
      <c r="AL71">
        <v>13.72153</v>
      </c>
      <c r="AM71">
        <v>14.477320000000001</v>
      </c>
      <c r="AN71">
        <v>2.7727200000000001</v>
      </c>
      <c r="AO71">
        <v>1.69007</v>
      </c>
      <c r="AP71">
        <v>6.3604000000000003</v>
      </c>
      <c r="AQ71">
        <v>0.97033000000000003</v>
      </c>
      <c r="AR71">
        <v>9.6079999999999999E-2</v>
      </c>
      <c r="AS71">
        <v>-0.53036000000000005</v>
      </c>
      <c r="AT71">
        <v>8.6289499999999997</v>
      </c>
      <c r="AU71">
        <v>1.8952599999999999</v>
      </c>
      <c r="AV71">
        <v>3.5568300000000002</v>
      </c>
      <c r="AW71">
        <v>-7.9509999999999997E-2</v>
      </c>
      <c r="AX71">
        <v>0.66788000000000003</v>
      </c>
      <c r="AY71">
        <v>9.6332400000000007</v>
      </c>
      <c r="AZ71">
        <v>3.83446</v>
      </c>
      <c r="BA71">
        <v>4.0432399999999999</v>
      </c>
      <c r="BB71">
        <v>13.190530000000001</v>
      </c>
      <c r="BC71" s="4">
        <f>Y71-Q71</f>
        <v>0.35932929852610052</v>
      </c>
      <c r="BD71">
        <f t="shared" si="1"/>
        <v>5.07212</v>
      </c>
    </row>
    <row r="72" spans="1:56" x14ac:dyDescent="0.35">
      <c r="A72" t="s">
        <v>262</v>
      </c>
      <c r="B72" t="s">
        <v>263</v>
      </c>
      <c r="C72" t="s">
        <v>264</v>
      </c>
      <c r="D72" t="s">
        <v>63</v>
      </c>
      <c r="E72">
        <v>35</v>
      </c>
      <c r="F72" t="s">
        <v>401</v>
      </c>
      <c r="G72" s="4">
        <v>14.879664498410399</v>
      </c>
      <c r="H72" s="4">
        <v>14.3935573741323</v>
      </c>
      <c r="I72" s="4">
        <v>13.809642746123799</v>
      </c>
      <c r="J72" s="4">
        <v>11.347817994692701</v>
      </c>
      <c r="K72" s="4">
        <v>12.031454241999899</v>
      </c>
      <c r="L72" s="4">
        <v>12.9808080791706</v>
      </c>
      <c r="M72" s="4">
        <v>12.7432810014061</v>
      </c>
      <c r="N72" s="4">
        <v>13.8568704424816</v>
      </c>
      <c r="O72" s="4">
        <v>12.1344652467325</v>
      </c>
      <c r="P72" s="4">
        <v>11.8909285662047</v>
      </c>
      <c r="Q72" s="4">
        <v>12.532728025861999</v>
      </c>
      <c r="R72" s="4">
        <v>14.7957018974876</v>
      </c>
      <c r="S72" s="4">
        <v>12.4770005939548</v>
      </c>
      <c r="T72" s="4">
        <v>14.517683231497999</v>
      </c>
      <c r="U72" s="4">
        <v>13.6611937194888</v>
      </c>
      <c r="V72" s="4">
        <v>15.2461414745328</v>
      </c>
      <c r="W72" s="4">
        <v>14.7123220701995</v>
      </c>
      <c r="X72" s="4">
        <v>17.008210944788701</v>
      </c>
      <c r="Y72" s="4">
        <v>11.5598300396196</v>
      </c>
      <c r="Z72" s="4">
        <v>14.693562621013401</v>
      </c>
      <c r="AA72" s="4">
        <v>13.6201347989303</v>
      </c>
      <c r="AB72" s="4">
        <v>15.5189155405074</v>
      </c>
      <c r="AC72" s="4">
        <v>11.627009181390299</v>
      </c>
      <c r="AD72" s="4">
        <v>15.054073266154001</v>
      </c>
      <c r="AE72">
        <v>2.0671200000000001</v>
      </c>
      <c r="AF72">
        <v>7.4196999999999997</v>
      </c>
      <c r="AG72">
        <v>7.4659399999999998</v>
      </c>
      <c r="AH72" t="s">
        <v>265</v>
      </c>
      <c r="AI72">
        <v>6.7153</v>
      </c>
      <c r="AJ72">
        <v>7.2469200000000003</v>
      </c>
      <c r="AK72">
        <v>0.68230999999999997</v>
      </c>
      <c r="AL72">
        <v>12.03537</v>
      </c>
      <c r="AM72">
        <v>13.915229999999999</v>
      </c>
      <c r="AN72">
        <v>2.01457</v>
      </c>
      <c r="AO72">
        <v>0.93842999999999999</v>
      </c>
      <c r="AP72">
        <v>7.2658899999999997</v>
      </c>
      <c r="AQ72">
        <v>-5.3539999999999997E-2</v>
      </c>
      <c r="AR72">
        <v>-0.84448999999999996</v>
      </c>
      <c r="AS72">
        <v>-0.48294999999999999</v>
      </c>
      <c r="AT72">
        <v>5.9458399999999996</v>
      </c>
      <c r="AU72">
        <v>1.53677</v>
      </c>
      <c r="AV72">
        <v>2.2367900000000001</v>
      </c>
      <c r="AW72">
        <v>-0.98978999999999995</v>
      </c>
      <c r="AX72">
        <v>-0.35698000000000002</v>
      </c>
      <c r="AY72">
        <v>8.9064399999999999</v>
      </c>
      <c r="AZ72">
        <v>4.4164300000000001</v>
      </c>
      <c r="BA72">
        <v>3.65327</v>
      </c>
      <c r="BB72">
        <v>12.459350000000001</v>
      </c>
      <c r="BC72" s="4">
        <f>Y72-Q72</f>
        <v>-0.97289798624239943</v>
      </c>
      <c r="BD72">
        <f t="shared" si="1"/>
        <v>3.7090499999999995</v>
      </c>
    </row>
    <row r="73" spans="1:56" x14ac:dyDescent="0.35">
      <c r="A73" t="s">
        <v>266</v>
      </c>
      <c r="B73" t="s">
        <v>267</v>
      </c>
      <c r="C73" t="s">
        <v>268</v>
      </c>
      <c r="D73" t="s">
        <v>63</v>
      </c>
      <c r="E73">
        <v>50</v>
      </c>
      <c r="F73" t="s">
        <v>401</v>
      </c>
      <c r="G73" s="4">
        <v>14.696494966399699</v>
      </c>
      <c r="H73" s="4">
        <v>13.512799553226801</v>
      </c>
      <c r="I73" s="4">
        <v>14.9735331005852</v>
      </c>
      <c r="J73" s="4">
        <v>9.3307047065777802</v>
      </c>
      <c r="K73" s="4">
        <v>10.4379766383295</v>
      </c>
      <c r="L73" s="4">
        <v>13.719420015838599</v>
      </c>
      <c r="M73" s="4">
        <v>12.4842422381116</v>
      </c>
      <c r="N73" s="4">
        <v>11.475009429265</v>
      </c>
      <c r="O73" s="4">
        <v>9.4892380967214294</v>
      </c>
      <c r="P73" s="4">
        <v>8.7302060631020595</v>
      </c>
      <c r="Q73" s="4">
        <v>15.447247948644399</v>
      </c>
      <c r="R73" s="4">
        <v>15.6126267107062</v>
      </c>
      <c r="S73" s="4">
        <v>13.548743992761</v>
      </c>
      <c r="T73" s="4">
        <v>12.2908929216585</v>
      </c>
      <c r="U73" s="4">
        <v>13.1874892378088</v>
      </c>
      <c r="V73" s="4">
        <v>18.278095663926401</v>
      </c>
      <c r="W73" s="4">
        <v>11.638110858567799</v>
      </c>
      <c r="X73" s="4">
        <v>13.750463867231201</v>
      </c>
      <c r="Y73" s="4">
        <v>13.702524969284999</v>
      </c>
      <c r="Z73" s="4">
        <v>13.484376701229101</v>
      </c>
      <c r="AA73" s="4">
        <v>13.3058358987477</v>
      </c>
      <c r="AB73" s="4">
        <v>14.8853597824156</v>
      </c>
      <c r="AC73" s="4">
        <v>11.173395241985601</v>
      </c>
      <c r="AD73" s="4">
        <v>16.095591070425399</v>
      </c>
      <c r="AE73">
        <v>1.96193</v>
      </c>
      <c r="AF73">
        <v>4.2824900000000001</v>
      </c>
      <c r="AG73">
        <v>5.9530099999999999</v>
      </c>
      <c r="AH73" t="s">
        <v>269</v>
      </c>
      <c r="AI73">
        <v>4.2431599999999996</v>
      </c>
      <c r="AJ73">
        <v>5.9904900000000003</v>
      </c>
      <c r="AK73">
        <v>1.3808199999999999</v>
      </c>
      <c r="AL73">
        <v>12.467090000000001</v>
      </c>
      <c r="AM73">
        <v>12.482570000000001</v>
      </c>
      <c r="AN73">
        <v>3.6789800000000001</v>
      </c>
      <c r="AO73">
        <v>0.97480999999999995</v>
      </c>
      <c r="AP73">
        <v>3.7218499999999999</v>
      </c>
      <c r="AQ73">
        <v>-1.055E-2</v>
      </c>
      <c r="AR73">
        <v>-0.78515000000000001</v>
      </c>
      <c r="AS73">
        <v>-1.1329499999999999</v>
      </c>
      <c r="AT73">
        <v>7.6353099999999996</v>
      </c>
      <c r="AU73">
        <v>0.57269999999999999</v>
      </c>
      <c r="AV73">
        <v>3.9818199999999999</v>
      </c>
      <c r="AW73">
        <v>-0.94127000000000005</v>
      </c>
      <c r="AX73">
        <v>0.23751</v>
      </c>
      <c r="AY73">
        <v>8.1132100000000005</v>
      </c>
      <c r="AZ73">
        <v>2.6865000000000001</v>
      </c>
      <c r="BA73">
        <v>2.4994100000000001</v>
      </c>
      <c r="BB73">
        <v>13.05269</v>
      </c>
      <c r="BC73" s="4">
        <f>Y73-Q73</f>
        <v>-1.7447229793594001</v>
      </c>
      <c r="BD73">
        <f t="shared" si="1"/>
        <v>3.6534899999999997</v>
      </c>
    </row>
    <row r="74" spans="1:56" x14ac:dyDescent="0.35">
      <c r="A74" t="s">
        <v>270</v>
      </c>
      <c r="B74" t="s">
        <v>271</v>
      </c>
      <c r="C74" t="s">
        <v>272</v>
      </c>
      <c r="D74" t="s">
        <v>63</v>
      </c>
      <c r="E74">
        <v>19</v>
      </c>
      <c r="F74" t="s">
        <v>401</v>
      </c>
      <c r="G74" s="4">
        <v>14.1461025206318</v>
      </c>
      <c r="H74" s="4">
        <v>13.0466955100406</v>
      </c>
      <c r="I74" s="4">
        <v>15.6543992690414</v>
      </c>
      <c r="J74" s="4">
        <v>11.2010202646912</v>
      </c>
      <c r="K74" s="4">
        <v>12.010134737847199</v>
      </c>
      <c r="L74" s="4">
        <v>14.103359429587799</v>
      </c>
      <c r="M74" s="4">
        <v>12.383654314479401</v>
      </c>
      <c r="N74" s="4">
        <v>14.8351188513106</v>
      </c>
      <c r="O74" s="4">
        <v>10.731666955140399</v>
      </c>
      <c r="P74" s="4">
        <v>12.3540290916164</v>
      </c>
      <c r="Q74" s="4">
        <v>14.611961652759501</v>
      </c>
      <c r="R74" s="4">
        <v>14.7904064269567</v>
      </c>
      <c r="S74" s="4">
        <v>14.571838549827</v>
      </c>
      <c r="T74" s="4">
        <v>11.067676687088101</v>
      </c>
      <c r="U74" s="4">
        <v>15.213751388230699</v>
      </c>
      <c r="V74" s="4">
        <v>16.286933229172899</v>
      </c>
      <c r="W74" s="4">
        <v>12.170628524410001</v>
      </c>
      <c r="X74" s="4">
        <v>14.4703034134037</v>
      </c>
      <c r="Y74" s="4">
        <v>14.1257365605311</v>
      </c>
      <c r="Z74" s="4">
        <v>13.7919928663847</v>
      </c>
      <c r="AA74" s="4">
        <v>14.8297703473377</v>
      </c>
      <c r="AB74" s="4">
        <v>14.956405544097899</v>
      </c>
      <c r="AC74" s="4">
        <v>12.0417254849655</v>
      </c>
      <c r="AD74" s="4">
        <v>15.1269640796221</v>
      </c>
      <c r="AE74">
        <v>1.8244899999999999</v>
      </c>
      <c r="AF74">
        <v>6.40062</v>
      </c>
      <c r="AG74">
        <v>7.3206100000000003</v>
      </c>
      <c r="AH74" t="s">
        <v>273</v>
      </c>
      <c r="AI74">
        <v>6.9563699999999997</v>
      </c>
      <c r="AJ74">
        <v>5.8992300000000002</v>
      </c>
      <c r="AK74">
        <v>1.32795</v>
      </c>
      <c r="AL74">
        <v>12.668100000000001</v>
      </c>
      <c r="AM74">
        <v>11.90391</v>
      </c>
      <c r="AN74">
        <v>3.1020599999999998</v>
      </c>
      <c r="AO74">
        <v>0.97736000000000001</v>
      </c>
      <c r="AP74">
        <v>6.9751300000000001</v>
      </c>
      <c r="AQ74">
        <v>0.92437000000000002</v>
      </c>
      <c r="AR74">
        <v>-0.48953000000000002</v>
      </c>
      <c r="AS74">
        <v>-0.16803000000000001</v>
      </c>
      <c r="AT74">
        <v>7.9497200000000001</v>
      </c>
      <c r="AU74">
        <v>0.60407</v>
      </c>
      <c r="AV74">
        <v>3.4057400000000002</v>
      </c>
      <c r="AW74">
        <v>-0.76846999999999999</v>
      </c>
      <c r="AX74">
        <v>1.0110300000000001</v>
      </c>
      <c r="AY74">
        <v>8.3966200000000004</v>
      </c>
      <c r="AZ74">
        <v>3.5627499999999999</v>
      </c>
      <c r="BA74">
        <v>3.07253</v>
      </c>
      <c r="BB74">
        <v>11.888769999999999</v>
      </c>
      <c r="BC74" s="4">
        <f>Y74-Q74</f>
        <v>-0.48622509222840016</v>
      </c>
      <c r="BD74">
        <f t="shared" si="1"/>
        <v>4.5439799999999995</v>
      </c>
    </row>
    <row r="75" spans="1:56" x14ac:dyDescent="0.35">
      <c r="A75" t="s">
        <v>274</v>
      </c>
      <c r="B75" t="s">
        <v>275</v>
      </c>
      <c r="C75" t="s">
        <v>276</v>
      </c>
      <c r="D75" t="s">
        <v>63</v>
      </c>
      <c r="E75">
        <v>52</v>
      </c>
      <c r="F75" t="s">
        <v>401</v>
      </c>
      <c r="G75" s="4">
        <v>13.416508340942499</v>
      </c>
      <c r="H75" s="4">
        <v>13.109972894126599</v>
      </c>
      <c r="I75" s="4">
        <v>11.7449163364995</v>
      </c>
      <c r="J75" s="4">
        <v>8.4601302830127292</v>
      </c>
      <c r="K75" s="4">
        <v>11.2249769213843</v>
      </c>
      <c r="L75" s="4">
        <v>12.8724544433926</v>
      </c>
      <c r="M75" s="4">
        <v>14.4754130095289</v>
      </c>
      <c r="N75" s="4">
        <v>10.8887033182219</v>
      </c>
      <c r="O75" s="4">
        <v>8.6435321480603999</v>
      </c>
      <c r="P75" s="4">
        <v>8.1059963281622291</v>
      </c>
      <c r="Q75" s="4">
        <v>13.421871593409501</v>
      </c>
      <c r="R75" s="4">
        <v>14.6825810187387</v>
      </c>
      <c r="S75" s="4">
        <v>12.4403934099638</v>
      </c>
      <c r="T75" s="4">
        <v>13.8786587824343</v>
      </c>
      <c r="U75" s="4">
        <v>12.5754888756623</v>
      </c>
      <c r="V75" s="4">
        <v>15.044484067476899</v>
      </c>
      <c r="W75" s="4">
        <v>11.8732572583114</v>
      </c>
      <c r="X75" s="4">
        <v>11.3691512803707</v>
      </c>
      <c r="Y75" s="4">
        <v>11.5035575419481</v>
      </c>
      <c r="Z75" s="4">
        <v>14.831725656825601</v>
      </c>
      <c r="AA75" s="4">
        <v>13.7770338412118</v>
      </c>
      <c r="AB75" s="4">
        <v>13.9296507392222</v>
      </c>
      <c r="AC75" s="4">
        <v>10.3414356697416</v>
      </c>
      <c r="AD75" s="4">
        <v>14.598729156886</v>
      </c>
      <c r="AE75">
        <v>1.93868</v>
      </c>
      <c r="AF75">
        <v>4.9305099999999999</v>
      </c>
      <c r="AG75">
        <v>7.0465799999999996</v>
      </c>
      <c r="AH75" t="s">
        <v>277</v>
      </c>
      <c r="AI75">
        <v>4.3594600000000003</v>
      </c>
      <c r="AJ75">
        <v>5.8912300000000002</v>
      </c>
      <c r="AK75">
        <v>0.83352999999999999</v>
      </c>
      <c r="AL75">
        <v>10.67132</v>
      </c>
      <c r="AM75">
        <v>12.975619999999999</v>
      </c>
      <c r="AN75">
        <v>3.0816699999999999</v>
      </c>
      <c r="AO75">
        <v>0.69018999999999997</v>
      </c>
      <c r="AP75">
        <v>4.1590100000000003</v>
      </c>
      <c r="AQ75">
        <v>-0.63241000000000003</v>
      </c>
      <c r="AR75">
        <v>0.57896999999999998</v>
      </c>
      <c r="AS75">
        <v>-1.0564199999999999</v>
      </c>
      <c r="AT75">
        <v>6.4309000000000003</v>
      </c>
      <c r="AU75">
        <v>1.8713900000000001</v>
      </c>
      <c r="AV75">
        <v>3.14344</v>
      </c>
      <c r="AW75">
        <v>-0.80615000000000003</v>
      </c>
      <c r="AX75">
        <v>-0.37959999999999999</v>
      </c>
      <c r="AY75">
        <v>8.7959099999999992</v>
      </c>
      <c r="AZ75">
        <v>3.2497799999999999</v>
      </c>
      <c r="BA75">
        <v>2.7046399999999999</v>
      </c>
      <c r="BB75">
        <v>12.553050000000001</v>
      </c>
      <c r="BC75" s="4">
        <f>Y75-Q75</f>
        <v>-1.918314051461401</v>
      </c>
      <c r="BD75">
        <f t="shared" si="1"/>
        <v>3.2874600000000003</v>
      </c>
    </row>
    <row r="76" spans="1:56" x14ac:dyDescent="0.35">
      <c r="A76" t="s">
        <v>298</v>
      </c>
      <c r="B76" t="s">
        <v>299</v>
      </c>
      <c r="C76" t="s">
        <v>300</v>
      </c>
      <c r="D76" t="s">
        <v>63</v>
      </c>
      <c r="E76">
        <v>65</v>
      </c>
      <c r="F76" t="s">
        <v>401</v>
      </c>
      <c r="G76" s="4">
        <v>14.9916402007216</v>
      </c>
      <c r="H76" s="4">
        <v>13.2466546972166</v>
      </c>
      <c r="I76" s="4">
        <v>13.8843272693962</v>
      </c>
      <c r="J76" s="4">
        <v>9.6745783058396704</v>
      </c>
      <c r="K76" s="4">
        <v>11.794580973507699</v>
      </c>
      <c r="L76" s="4">
        <v>13.4873864885588</v>
      </c>
      <c r="M76" s="4">
        <v>12.4342357748002</v>
      </c>
      <c r="N76" s="4">
        <v>12.8950977708844</v>
      </c>
      <c r="O76" s="4">
        <v>10.2109141824677</v>
      </c>
      <c r="P76" s="4">
        <v>11.8257480469629</v>
      </c>
      <c r="Q76" s="4">
        <v>13.8450086785779</v>
      </c>
      <c r="R76" s="4">
        <v>15.541607103177901</v>
      </c>
      <c r="S76" s="4">
        <v>12.9000101049678</v>
      </c>
      <c r="T76" s="4">
        <v>11.0541931482405</v>
      </c>
      <c r="U76" s="4">
        <v>14.289040818401601</v>
      </c>
      <c r="V76" s="4">
        <v>17.922258723592702</v>
      </c>
      <c r="W76" s="4">
        <v>11.5736131327913</v>
      </c>
      <c r="X76" s="4">
        <v>14.6833057514916</v>
      </c>
      <c r="Y76" s="4">
        <v>13.8368100713357</v>
      </c>
      <c r="Z76" s="4">
        <v>13.1182966846551</v>
      </c>
      <c r="AA76" s="4">
        <v>13.770419193100601</v>
      </c>
      <c r="AB76" s="4">
        <v>13.9615620785665</v>
      </c>
      <c r="AC76" s="4">
        <v>10.9431985924638</v>
      </c>
      <c r="AD76" s="4">
        <v>15.045429023877899</v>
      </c>
      <c r="AE76">
        <v>1.91211</v>
      </c>
      <c r="AF76">
        <v>5.4981</v>
      </c>
      <c r="AG76">
        <v>7.1360400000000004</v>
      </c>
      <c r="AH76" t="s">
        <v>301</v>
      </c>
      <c r="AI76">
        <v>5.8249700000000004</v>
      </c>
      <c r="AJ76">
        <v>6.8768399999999996</v>
      </c>
      <c r="AK76">
        <v>1.45777</v>
      </c>
      <c r="AL76">
        <v>12.211360000000001</v>
      </c>
      <c r="AM76">
        <v>12.849</v>
      </c>
      <c r="AN76">
        <v>2.9266700000000001</v>
      </c>
      <c r="AO76">
        <v>1.4292899999999999</v>
      </c>
      <c r="AP76">
        <v>7.1051099999999998</v>
      </c>
      <c r="AQ76">
        <v>-1.7950000000000001E-2</v>
      </c>
      <c r="AR76">
        <v>-1.05542</v>
      </c>
      <c r="AS76">
        <v>-0.79063000000000005</v>
      </c>
      <c r="AT76">
        <v>8.2012599999999996</v>
      </c>
      <c r="AU76">
        <v>1.1033299999999999</v>
      </c>
      <c r="AV76">
        <v>3.1186799999999999</v>
      </c>
      <c r="AW76">
        <v>-0.82735999999999998</v>
      </c>
      <c r="AX76">
        <v>0.46606999999999998</v>
      </c>
      <c r="AY76">
        <v>9.2800399999999996</v>
      </c>
      <c r="AZ76">
        <v>2.5805099999999999</v>
      </c>
      <c r="BA76">
        <v>3.37018</v>
      </c>
      <c r="BB76">
        <v>12.39636</v>
      </c>
      <c r="BC76" s="4">
        <f>Y76-Q76</f>
        <v>-8.1986072421997847E-3</v>
      </c>
      <c r="BD76">
        <f t="shared" si="1"/>
        <v>5.0825800000000001</v>
      </c>
    </row>
    <row r="77" spans="1:56" x14ac:dyDescent="0.35">
      <c r="A77" t="s">
        <v>302</v>
      </c>
      <c r="B77" t="s">
        <v>303</v>
      </c>
      <c r="C77" t="s">
        <v>304</v>
      </c>
      <c r="D77" t="s">
        <v>63</v>
      </c>
      <c r="E77">
        <v>55</v>
      </c>
      <c r="F77" t="s">
        <v>401</v>
      </c>
      <c r="G77" s="4">
        <v>15.2466885500614</v>
      </c>
      <c r="H77" s="4">
        <v>13.4848382475344</v>
      </c>
      <c r="I77" s="4">
        <v>12.709676383261099</v>
      </c>
      <c r="J77" s="4">
        <v>9.51416137125711</v>
      </c>
      <c r="K77" s="4">
        <v>11.443229425127599</v>
      </c>
      <c r="L77" s="4">
        <v>13.9511032634298</v>
      </c>
      <c r="M77" s="4">
        <v>13.108435498679601</v>
      </c>
      <c r="N77" s="4">
        <v>15.133270685368499</v>
      </c>
      <c r="O77" s="4">
        <v>9.4665704731614806</v>
      </c>
      <c r="P77" s="4">
        <v>10.9751779332361</v>
      </c>
      <c r="Q77" s="4">
        <v>13.733347292134001</v>
      </c>
      <c r="R77" s="4">
        <v>14.4688842977425</v>
      </c>
      <c r="S77" s="4">
        <v>13.230377684831</v>
      </c>
      <c r="T77" s="4">
        <v>11.3387037837182</v>
      </c>
      <c r="U77" s="4">
        <v>13.3819285472947</v>
      </c>
      <c r="V77" s="4">
        <v>14.4874451764783</v>
      </c>
      <c r="W77" s="4">
        <v>12.129078231534001</v>
      </c>
      <c r="X77" s="4">
        <v>15.4685222904043</v>
      </c>
      <c r="Y77" s="4">
        <v>12.476661156608699</v>
      </c>
      <c r="Z77" s="4">
        <v>13.4000392199115</v>
      </c>
      <c r="AA77" s="4">
        <v>14.2803560432205</v>
      </c>
      <c r="AB77" s="4">
        <v>15.531837781927599</v>
      </c>
      <c r="AC77" s="4">
        <v>10.997149977999401</v>
      </c>
      <c r="AD77" s="4">
        <v>15.3456456165567</v>
      </c>
      <c r="AE77">
        <v>1.71312</v>
      </c>
      <c r="AF77">
        <v>5.2461500000000001</v>
      </c>
      <c r="AG77">
        <v>6.8194600000000003</v>
      </c>
      <c r="AH77" t="s">
        <v>305</v>
      </c>
      <c r="AI77">
        <v>8.8947599999999998</v>
      </c>
      <c r="AJ77">
        <v>6.4594500000000004</v>
      </c>
      <c r="AK77">
        <v>0.87639</v>
      </c>
      <c r="AL77">
        <v>10.801069999999999</v>
      </c>
      <c r="AM77">
        <v>12.96607</v>
      </c>
      <c r="AN77">
        <v>2.87792</v>
      </c>
      <c r="AO77">
        <v>1.79009</v>
      </c>
      <c r="AP77">
        <v>6.1843399999999997</v>
      </c>
      <c r="AQ77">
        <v>-4.2729999999999997E-2</v>
      </c>
      <c r="AR77">
        <v>-1.16394</v>
      </c>
      <c r="AS77">
        <v>-1.37294</v>
      </c>
      <c r="AT77">
        <v>6.6914499999999997</v>
      </c>
      <c r="AU77">
        <v>0.79356000000000004</v>
      </c>
      <c r="AV77">
        <v>3.0248599999999999</v>
      </c>
      <c r="AW77">
        <v>-1.01308</v>
      </c>
      <c r="AX77">
        <v>0.38763999999999998</v>
      </c>
      <c r="AY77">
        <v>9.1151099999999996</v>
      </c>
      <c r="AZ77">
        <v>4.6150399999999996</v>
      </c>
      <c r="BA77">
        <v>3.3148599999999999</v>
      </c>
      <c r="BB77">
        <v>12.32633</v>
      </c>
      <c r="BC77" s="4">
        <f>Y77-Q77</f>
        <v>-1.2566861355253014</v>
      </c>
      <c r="BD77">
        <f t="shared" si="1"/>
        <v>3.6665899999999998</v>
      </c>
    </row>
    <row r="78" spans="1:56" x14ac:dyDescent="0.35">
      <c r="A78" t="s">
        <v>314</v>
      </c>
      <c r="B78" t="s">
        <v>315</v>
      </c>
      <c r="C78" t="s">
        <v>316</v>
      </c>
      <c r="D78" t="s">
        <v>63</v>
      </c>
      <c r="E78">
        <v>47</v>
      </c>
      <c r="F78" t="s">
        <v>401</v>
      </c>
      <c r="G78" s="4">
        <v>13.6980363366744</v>
      </c>
      <c r="H78" s="4">
        <v>12.624089488994199</v>
      </c>
      <c r="I78" s="4">
        <v>12.1554359482904</v>
      </c>
      <c r="J78" s="4">
        <v>8.5872042588421795</v>
      </c>
      <c r="K78" s="4">
        <v>9.9820887888871503</v>
      </c>
      <c r="L78" s="4">
        <v>12.820850024817</v>
      </c>
      <c r="M78" s="4">
        <v>13.103795164749</v>
      </c>
      <c r="N78" s="4">
        <v>12.0118459611591</v>
      </c>
      <c r="O78" s="4">
        <v>10.306717557456899</v>
      </c>
      <c r="P78" s="4">
        <v>7.4684161150380604</v>
      </c>
      <c r="Q78" s="4">
        <v>11.7705363409088</v>
      </c>
      <c r="R78" s="4">
        <v>12.195587402847501</v>
      </c>
      <c r="S78" s="4">
        <v>13.5273857914543</v>
      </c>
      <c r="T78" s="4">
        <v>12.205450561454199</v>
      </c>
      <c r="U78" s="4">
        <v>13.237001831609501</v>
      </c>
      <c r="V78" s="4">
        <v>15.008555330072401</v>
      </c>
      <c r="W78" s="4">
        <v>11.1132476596716</v>
      </c>
      <c r="X78" s="4">
        <v>11.293631526779601</v>
      </c>
      <c r="Y78" s="4">
        <v>8.9876183955424196</v>
      </c>
      <c r="Z78" s="4">
        <v>13.574335967758699</v>
      </c>
      <c r="AA78" s="4">
        <v>13.9927822482517</v>
      </c>
      <c r="AB78" s="4">
        <v>16.068941195897899</v>
      </c>
      <c r="AC78" s="4">
        <v>10.208199933502399</v>
      </c>
      <c r="AD78" s="4">
        <v>14.5277126626443</v>
      </c>
      <c r="AE78">
        <v>1.89144</v>
      </c>
      <c r="AF78">
        <v>4.60358</v>
      </c>
      <c r="AG78">
        <v>5.6816599999999999</v>
      </c>
      <c r="AH78" t="s">
        <v>317</v>
      </c>
      <c r="AI78">
        <v>4.5132399999999997</v>
      </c>
      <c r="AJ78">
        <v>5.2856100000000001</v>
      </c>
      <c r="AK78">
        <v>0.61212</v>
      </c>
      <c r="AL78">
        <v>10.13068</v>
      </c>
      <c r="AM78">
        <v>11.947609999999999</v>
      </c>
      <c r="AN78">
        <v>2.8308900000000001</v>
      </c>
      <c r="AO78">
        <v>1.0059499999999999</v>
      </c>
      <c r="AP78">
        <v>2.9346399999999999</v>
      </c>
      <c r="AQ78">
        <v>-9.3369999999999995E-2</v>
      </c>
      <c r="AR78">
        <v>-1.05829</v>
      </c>
      <c r="AS78">
        <v>-0.90395000000000003</v>
      </c>
      <c r="AT78">
        <v>3.73502</v>
      </c>
      <c r="AU78">
        <v>0.61897999999999997</v>
      </c>
      <c r="AV78">
        <v>1.3914599999999999</v>
      </c>
      <c r="AW78">
        <v>-1.3135399999999999</v>
      </c>
      <c r="AX78">
        <v>-0.37735999999999997</v>
      </c>
      <c r="AY78">
        <v>8.4406999999999996</v>
      </c>
      <c r="AZ78">
        <v>4.8166700000000002</v>
      </c>
      <c r="BA78">
        <v>2.3139599999999998</v>
      </c>
      <c r="BB78">
        <v>11.306480000000001</v>
      </c>
      <c r="BC78" s="4">
        <f>Y78-Q78</f>
        <v>-2.7829179453663802</v>
      </c>
      <c r="BD78">
        <f t="shared" si="1"/>
        <v>2.3435600000000001</v>
      </c>
    </row>
    <row r="79" spans="1:56" x14ac:dyDescent="0.35">
      <c r="A79" t="s">
        <v>326</v>
      </c>
      <c r="B79" t="s">
        <v>327</v>
      </c>
      <c r="C79" t="s">
        <v>328</v>
      </c>
      <c r="D79" t="s">
        <v>63</v>
      </c>
      <c r="E79">
        <v>43</v>
      </c>
      <c r="F79" t="s">
        <v>401</v>
      </c>
      <c r="G79" s="4">
        <v>15.250651918890499</v>
      </c>
      <c r="H79" s="4">
        <v>13.055619147258</v>
      </c>
      <c r="I79" s="4">
        <v>13.880091231609001</v>
      </c>
      <c r="J79" s="4">
        <v>10.4656359757705</v>
      </c>
      <c r="K79" s="4">
        <v>12.2694985467212</v>
      </c>
      <c r="L79" s="4">
        <v>13.1835375845216</v>
      </c>
      <c r="M79" s="4">
        <v>12.458689614256899</v>
      </c>
      <c r="N79" s="4">
        <v>13.9979705289796</v>
      </c>
      <c r="O79" s="4">
        <v>9.1038402381708998</v>
      </c>
      <c r="P79" s="4">
        <v>11.5491135763572</v>
      </c>
      <c r="Q79" s="4">
        <v>14.242433173369999</v>
      </c>
      <c r="R79" s="4">
        <v>13.1322526600154</v>
      </c>
      <c r="S79" s="4">
        <v>12.4741719026237</v>
      </c>
      <c r="T79" s="4">
        <v>10.8702638693944</v>
      </c>
      <c r="U79" s="4">
        <v>13.285416758437799</v>
      </c>
      <c r="V79" s="4">
        <v>16.357222168984901</v>
      </c>
      <c r="W79" s="4">
        <v>12.9664082097337</v>
      </c>
      <c r="X79" s="4">
        <v>14.1583972991775</v>
      </c>
      <c r="Y79" s="4">
        <v>13.518009308888701</v>
      </c>
      <c r="Z79" s="4">
        <v>13.1300135095012</v>
      </c>
      <c r="AA79" s="4">
        <v>14.5878059290335</v>
      </c>
      <c r="AB79" s="4">
        <v>15.3826618311386</v>
      </c>
      <c r="AC79" s="4">
        <v>11.4343942715587</v>
      </c>
      <c r="AD79" s="4">
        <v>15.528886375482401</v>
      </c>
      <c r="AE79">
        <v>1.50451</v>
      </c>
      <c r="AF79">
        <v>6.1108799999999999</v>
      </c>
      <c r="AG79">
        <v>7.1262600000000003</v>
      </c>
      <c r="AH79" t="s">
        <v>329</v>
      </c>
      <c r="AI79">
        <v>6.7706799999999996</v>
      </c>
      <c r="AJ79">
        <v>6.7796799999999999</v>
      </c>
      <c r="AK79">
        <v>0.80767999999999995</v>
      </c>
      <c r="AL79">
        <v>11.857849999999999</v>
      </c>
      <c r="AM79">
        <v>12.52685</v>
      </c>
      <c r="AN79">
        <v>2.22628</v>
      </c>
      <c r="AO79">
        <v>0.61826999999999999</v>
      </c>
      <c r="AP79">
        <v>6.4187500000000002</v>
      </c>
      <c r="AQ79">
        <v>-0.46433999999999997</v>
      </c>
      <c r="AR79">
        <v>-0.42482999999999999</v>
      </c>
      <c r="AS79">
        <v>-1.5790999999999999</v>
      </c>
      <c r="AT79">
        <v>7.6432599999999997</v>
      </c>
      <c r="AU79">
        <v>0.30825999999999998</v>
      </c>
      <c r="AV79">
        <v>2.8870100000000001</v>
      </c>
      <c r="AW79">
        <v>-1.2735000000000001</v>
      </c>
      <c r="AX79">
        <v>-8.9700000000000002E-2</v>
      </c>
      <c r="AY79">
        <v>8.7891200000000005</v>
      </c>
      <c r="AZ79">
        <v>4.26023</v>
      </c>
      <c r="BA79">
        <v>3.27027</v>
      </c>
      <c r="BB79">
        <v>12.496270000000001</v>
      </c>
      <c r="BC79" s="4">
        <f>Y79-Q79</f>
        <v>-0.72442386448129881</v>
      </c>
      <c r="BD79">
        <f t="shared" si="1"/>
        <v>4.7562499999999996</v>
      </c>
    </row>
    <row r="80" spans="1:56" x14ac:dyDescent="0.35">
      <c r="A80" t="s">
        <v>330</v>
      </c>
      <c r="B80" t="s">
        <v>331</v>
      </c>
      <c r="C80" t="s">
        <v>332</v>
      </c>
      <c r="D80" t="s">
        <v>63</v>
      </c>
      <c r="E80">
        <v>48</v>
      </c>
      <c r="F80" t="s">
        <v>401</v>
      </c>
      <c r="G80" s="4">
        <v>14.627840691327499</v>
      </c>
      <c r="H80" s="4">
        <v>12.695523427805901</v>
      </c>
      <c r="I80" s="4">
        <v>15.5287456463107</v>
      </c>
      <c r="J80" s="4">
        <v>10.315173867769801</v>
      </c>
      <c r="K80" s="4">
        <v>12.497545440116699</v>
      </c>
      <c r="L80" s="4">
        <v>13.160685216002401</v>
      </c>
      <c r="M80" s="4">
        <v>14.262074918603</v>
      </c>
      <c r="N80" s="4">
        <v>12.6843282360788</v>
      </c>
      <c r="O80" s="4">
        <v>10.640954521462801</v>
      </c>
      <c r="P80" s="4">
        <v>10.3529278197735</v>
      </c>
      <c r="Q80" s="4">
        <v>15.9868322125474</v>
      </c>
      <c r="R80" s="4">
        <v>14.9763033883902</v>
      </c>
      <c r="S80" s="4">
        <v>12.231894253055099</v>
      </c>
      <c r="T80" s="4">
        <v>13.8472280687535</v>
      </c>
      <c r="U80" s="4">
        <v>13.1949014129899</v>
      </c>
      <c r="V80" s="4">
        <v>18.8006968098519</v>
      </c>
      <c r="W80" s="4">
        <v>11.560414421915199</v>
      </c>
      <c r="X80" s="4">
        <v>13.3864621557232</v>
      </c>
      <c r="Y80" s="4">
        <v>15.6444776312205</v>
      </c>
      <c r="Z80" s="4">
        <v>13.813545842001201</v>
      </c>
      <c r="AA80" s="4">
        <v>13.793483246691</v>
      </c>
      <c r="AB80" s="4">
        <v>17.404249079703199</v>
      </c>
      <c r="AC80" s="4">
        <v>11.342751957390499</v>
      </c>
      <c r="AD80" s="4">
        <v>15.519824402891</v>
      </c>
      <c r="AE80">
        <v>1.69513</v>
      </c>
      <c r="AF80">
        <v>6.0107499999999998</v>
      </c>
      <c r="AG80">
        <v>7.6950000000000003</v>
      </c>
      <c r="AH80" t="s">
        <v>333</v>
      </c>
      <c r="AI80">
        <v>5.6207599999999998</v>
      </c>
      <c r="AJ80">
        <v>6.48292</v>
      </c>
      <c r="AK80">
        <v>2.1504799999999999</v>
      </c>
      <c r="AL80">
        <v>13.27449</v>
      </c>
      <c r="AM80">
        <v>11.965780000000001</v>
      </c>
      <c r="AN80">
        <v>2.8595999999999999</v>
      </c>
      <c r="AO80">
        <v>0.74668999999999996</v>
      </c>
      <c r="AP80">
        <v>5.5446400000000002</v>
      </c>
      <c r="AQ80">
        <v>-8.2150000000000001E-2</v>
      </c>
      <c r="AR80">
        <v>-1.8180499999999999</v>
      </c>
      <c r="AS80">
        <v>-1.22052</v>
      </c>
      <c r="AT80">
        <v>9.6955899999999993</v>
      </c>
      <c r="AU80">
        <v>0.90639999999999998</v>
      </c>
      <c r="AV80">
        <v>5.0568499999999998</v>
      </c>
      <c r="AW80">
        <v>-0.73250999999999999</v>
      </c>
      <c r="AX80">
        <v>-0.88810999999999996</v>
      </c>
      <c r="AY80">
        <v>9.8292800000000007</v>
      </c>
      <c r="AZ80">
        <v>5.1238900000000003</v>
      </c>
      <c r="BA80">
        <v>3.55064</v>
      </c>
      <c r="BB80">
        <v>13.03205</v>
      </c>
      <c r="BC80" s="4">
        <f>Y80-Q80</f>
        <v>-0.34235458132689978</v>
      </c>
      <c r="BD80">
        <f t="shared" si="1"/>
        <v>4.6387399999999994</v>
      </c>
    </row>
    <row r="81" spans="1:56" x14ac:dyDescent="0.35">
      <c r="A81" t="s">
        <v>346</v>
      </c>
      <c r="B81" t="s">
        <v>347</v>
      </c>
      <c r="C81" t="s">
        <v>348</v>
      </c>
      <c r="D81" t="s">
        <v>63</v>
      </c>
      <c r="E81">
        <v>27</v>
      </c>
      <c r="F81" t="s">
        <v>401</v>
      </c>
      <c r="G81" s="4">
        <v>14.8587270754289</v>
      </c>
      <c r="H81" s="4">
        <v>13.7464012840833</v>
      </c>
      <c r="I81" s="4">
        <v>14.452408907642999</v>
      </c>
      <c r="J81" s="4">
        <v>10.130949752424399</v>
      </c>
      <c r="K81" s="4">
        <v>11.074509495069901</v>
      </c>
      <c r="L81" s="4">
        <v>13.150376359712</v>
      </c>
      <c r="M81" s="4">
        <v>12.7567954512966</v>
      </c>
      <c r="N81" s="4">
        <v>13.6013774010595</v>
      </c>
      <c r="O81" s="4">
        <v>9.3039130800642091</v>
      </c>
      <c r="P81" s="4">
        <v>10.3203194774678</v>
      </c>
      <c r="Q81" s="4">
        <v>13.926131355481701</v>
      </c>
      <c r="R81" s="4">
        <v>14.5645394578529</v>
      </c>
      <c r="S81" s="4">
        <v>12.765839790284801</v>
      </c>
      <c r="T81" s="4">
        <v>12.8827597173412</v>
      </c>
      <c r="U81" s="4">
        <v>13.184915401467901</v>
      </c>
      <c r="V81" s="4">
        <v>15.475428443532101</v>
      </c>
      <c r="W81" s="4">
        <v>12.382222422221799</v>
      </c>
      <c r="X81" s="4">
        <v>13.696082234859301</v>
      </c>
      <c r="Y81" s="4">
        <v>14.6229290481853</v>
      </c>
      <c r="Z81" s="4">
        <v>15.2228404302962</v>
      </c>
      <c r="AA81" s="4">
        <v>14.5191403569358</v>
      </c>
      <c r="AB81" s="4">
        <v>16.606098227095998</v>
      </c>
      <c r="AC81" s="4">
        <v>11.605301460742499</v>
      </c>
      <c r="AD81" s="4">
        <v>15.360744426045599</v>
      </c>
      <c r="AE81">
        <v>1.84605</v>
      </c>
      <c r="AF81">
        <v>5.8720299999999996</v>
      </c>
      <c r="AG81">
        <v>6.5853400000000004</v>
      </c>
      <c r="AH81" t="s">
        <v>349</v>
      </c>
      <c r="AI81">
        <v>6.5689399999999996</v>
      </c>
      <c r="AJ81">
        <v>6.7087300000000001</v>
      </c>
      <c r="AK81">
        <v>1.10663</v>
      </c>
      <c r="AL81">
        <v>12.356210000000001</v>
      </c>
      <c r="AM81">
        <v>13.172409999999999</v>
      </c>
      <c r="AN81">
        <v>2.2337400000000001</v>
      </c>
      <c r="AO81">
        <v>0.96760000000000002</v>
      </c>
      <c r="AP81">
        <v>5.4744999999999999</v>
      </c>
      <c r="AQ81">
        <v>-2.9080000000000002E-2</v>
      </c>
      <c r="AR81">
        <v>-5.0349999999999999E-2</v>
      </c>
      <c r="AS81">
        <v>-0.84862000000000004</v>
      </c>
      <c r="AT81">
        <v>8.6937300000000004</v>
      </c>
      <c r="AU81">
        <v>1.53182</v>
      </c>
      <c r="AV81">
        <v>3.31698</v>
      </c>
      <c r="AW81">
        <v>-1.14425</v>
      </c>
      <c r="AX81">
        <v>-0.47141</v>
      </c>
      <c r="AY81">
        <v>9.3083100000000005</v>
      </c>
      <c r="AZ81">
        <v>4.8282699999999998</v>
      </c>
      <c r="BA81">
        <v>3.3475299999999999</v>
      </c>
      <c r="BB81">
        <v>12.78135</v>
      </c>
      <c r="BC81" s="4">
        <f>Y81-Q81</f>
        <v>0.69679769270359948</v>
      </c>
      <c r="BD81">
        <f t="shared" si="1"/>
        <v>5.3767500000000004</v>
      </c>
    </row>
    <row r="82" spans="1:56" x14ac:dyDescent="0.35">
      <c r="A82" t="s">
        <v>354</v>
      </c>
      <c r="B82" t="s">
        <v>355</v>
      </c>
      <c r="C82" t="s">
        <v>356</v>
      </c>
      <c r="D82" t="s">
        <v>63</v>
      </c>
      <c r="E82">
        <v>64</v>
      </c>
      <c r="F82" t="s">
        <v>401</v>
      </c>
      <c r="G82" s="4">
        <v>15.100692186738</v>
      </c>
      <c r="H82" s="4">
        <v>12.7828098848381</v>
      </c>
      <c r="I82" s="4">
        <v>14.998288631682801</v>
      </c>
      <c r="J82" s="4">
        <v>10.751165811601201</v>
      </c>
      <c r="K82" s="4">
        <v>13.2996468085638</v>
      </c>
      <c r="L82" s="4">
        <v>14.6818036640339</v>
      </c>
      <c r="M82" s="4">
        <v>12.324678411028099</v>
      </c>
      <c r="N82" s="4">
        <v>12.885159476834099</v>
      </c>
      <c r="O82" s="4">
        <v>9.5768530101291507</v>
      </c>
      <c r="P82" s="4">
        <v>10.0026331862954</v>
      </c>
      <c r="Q82" s="4">
        <v>16.508358559396001</v>
      </c>
      <c r="R82" s="4">
        <v>15.396050650122501</v>
      </c>
      <c r="S82" s="4">
        <v>13.7045257534673</v>
      </c>
      <c r="T82" s="4">
        <v>11.404864542487299</v>
      </c>
      <c r="U82" s="4">
        <v>13.1787642483332</v>
      </c>
      <c r="V82" s="4">
        <v>16.5975199902967</v>
      </c>
      <c r="W82" s="4">
        <v>11.364762959872801</v>
      </c>
      <c r="X82" s="4">
        <v>12.186805138516</v>
      </c>
      <c r="Y82" s="4">
        <v>15.119565529394</v>
      </c>
      <c r="Z82" s="4">
        <v>12.6064175896545</v>
      </c>
      <c r="AA82" s="4">
        <v>14.2990567687047</v>
      </c>
      <c r="AB82" s="4">
        <v>15.501697452822301</v>
      </c>
      <c r="AC82" s="4">
        <v>12.0527007854615</v>
      </c>
      <c r="AD82" s="4">
        <v>15.580903032672699</v>
      </c>
      <c r="AE82">
        <v>1.7130799999999999</v>
      </c>
      <c r="AF82">
        <v>6.6273499999999999</v>
      </c>
      <c r="AG82">
        <v>8.9961000000000002</v>
      </c>
      <c r="AH82" t="s">
        <v>357</v>
      </c>
      <c r="AI82">
        <v>5.7025199999999998</v>
      </c>
      <c r="AJ82">
        <v>6.6515000000000004</v>
      </c>
      <c r="AK82">
        <v>1.09745</v>
      </c>
      <c r="AL82">
        <v>12.6144</v>
      </c>
      <c r="AM82">
        <v>11.912559999999999</v>
      </c>
      <c r="AN82">
        <v>3.4855399999999999</v>
      </c>
      <c r="AO82">
        <v>1.0358799999999999</v>
      </c>
      <c r="AP82">
        <v>5.04047</v>
      </c>
      <c r="AQ82">
        <v>-0.22609000000000001</v>
      </c>
      <c r="AR82">
        <v>9.1869999999999993E-2</v>
      </c>
      <c r="AS82">
        <v>-1.13184</v>
      </c>
      <c r="AT82">
        <v>9.4695999999999998</v>
      </c>
      <c r="AU82">
        <v>0.28142</v>
      </c>
      <c r="AV82">
        <v>5.3781400000000001</v>
      </c>
      <c r="AW82">
        <v>-1.33769</v>
      </c>
      <c r="AX82">
        <v>0.39898</v>
      </c>
      <c r="AY82">
        <v>9.0936500000000002</v>
      </c>
      <c r="AZ82">
        <v>3.90123</v>
      </c>
      <c r="BA82">
        <v>3.8069799999999998</v>
      </c>
      <c r="BB82">
        <v>12.811769999999999</v>
      </c>
      <c r="BC82" s="4">
        <f>Y82-Q82</f>
        <v>-1.3887930300020006</v>
      </c>
      <c r="BD82">
        <f t="shared" si="1"/>
        <v>4.0914599999999997</v>
      </c>
    </row>
    <row r="83" spans="1:56" x14ac:dyDescent="0.35">
      <c r="A83" t="s">
        <v>366</v>
      </c>
      <c r="B83" t="s">
        <v>367</v>
      </c>
      <c r="C83" t="s">
        <v>368</v>
      </c>
      <c r="D83" t="s">
        <v>63</v>
      </c>
      <c r="E83">
        <v>19</v>
      </c>
      <c r="F83" t="s">
        <v>401</v>
      </c>
      <c r="G83" s="4">
        <v>13.908569775983199</v>
      </c>
      <c r="H83" s="4">
        <v>13.9931389681966</v>
      </c>
      <c r="I83" s="4">
        <v>14.1536803395866</v>
      </c>
      <c r="J83" s="4">
        <v>9.4674069886689693</v>
      </c>
      <c r="K83" s="4">
        <v>10.9989168270441</v>
      </c>
      <c r="L83" s="4">
        <v>13.4154777160658</v>
      </c>
      <c r="M83" s="4">
        <v>12.485377653600899</v>
      </c>
      <c r="N83" s="4">
        <v>13.1928344490745</v>
      </c>
      <c r="O83" s="4">
        <v>11.165238548360501</v>
      </c>
      <c r="P83" s="4">
        <v>10.525300414038201</v>
      </c>
      <c r="Q83" s="4">
        <v>14.4711092819173</v>
      </c>
      <c r="R83" s="4">
        <v>15.130477665426</v>
      </c>
      <c r="S83" s="4">
        <v>11.8929520494325</v>
      </c>
      <c r="T83" s="4">
        <v>13.525791285197901</v>
      </c>
      <c r="U83" s="4">
        <v>14.2271831979361</v>
      </c>
      <c r="V83" s="4">
        <v>15.3179160716306</v>
      </c>
      <c r="W83" s="4">
        <v>13.2549347064258</v>
      </c>
      <c r="X83" s="4">
        <v>15.9278959074746</v>
      </c>
      <c r="Y83" s="4">
        <v>12.2407893206986</v>
      </c>
      <c r="Z83" s="4">
        <v>14.7234775013965</v>
      </c>
      <c r="AA83" s="4">
        <v>14.0171905916455</v>
      </c>
      <c r="AB83" s="4">
        <v>16.079482316940201</v>
      </c>
      <c r="AC83" s="4">
        <v>10.7395180558206</v>
      </c>
      <c r="AD83" s="4">
        <v>14.8399312032897</v>
      </c>
      <c r="AE83">
        <v>1.8487</v>
      </c>
      <c r="AF83">
        <v>5.5215800000000002</v>
      </c>
      <c r="AG83">
        <v>7.0212700000000003</v>
      </c>
      <c r="AH83" t="s">
        <v>369</v>
      </c>
      <c r="AI83">
        <v>6.5899099999999997</v>
      </c>
      <c r="AJ83">
        <v>6.5596199999999998</v>
      </c>
      <c r="AK83">
        <v>0.85358000000000001</v>
      </c>
      <c r="AL83">
        <v>12.22123</v>
      </c>
      <c r="AM83">
        <v>13.61382</v>
      </c>
      <c r="AN83">
        <v>3.0240999999999998</v>
      </c>
      <c r="AO83">
        <v>0.99880999999999998</v>
      </c>
      <c r="AP83">
        <v>5.3151400000000004</v>
      </c>
      <c r="AQ83">
        <v>-0.13596</v>
      </c>
      <c r="AR83">
        <v>-0.74084000000000005</v>
      </c>
      <c r="AS83">
        <v>-1.14371</v>
      </c>
      <c r="AT83">
        <v>6.4693199999999997</v>
      </c>
      <c r="AU83">
        <v>0.74861</v>
      </c>
      <c r="AV83">
        <v>4.0341699999999996</v>
      </c>
      <c r="AW83">
        <v>-0.75748000000000004</v>
      </c>
      <c r="AX83">
        <v>-0.1366</v>
      </c>
      <c r="AY83">
        <v>9.3197799999999997</v>
      </c>
      <c r="AZ83">
        <v>4.5058100000000003</v>
      </c>
      <c r="BA83">
        <v>2.9039899999999998</v>
      </c>
      <c r="BB83">
        <v>12.43211</v>
      </c>
      <c r="BC83" s="4">
        <f>Y83-Q83</f>
        <v>-2.2303199612187008</v>
      </c>
      <c r="BD83">
        <f t="shared" si="1"/>
        <v>2.4351500000000001</v>
      </c>
    </row>
    <row r="84" spans="1:56" x14ac:dyDescent="0.35">
      <c r="A84" t="s">
        <v>370</v>
      </c>
      <c r="B84" t="s">
        <v>371</v>
      </c>
      <c r="C84" t="s">
        <v>372</v>
      </c>
      <c r="D84" t="s">
        <v>63</v>
      </c>
      <c r="E84">
        <v>41</v>
      </c>
      <c r="F84" t="s">
        <v>401</v>
      </c>
      <c r="G84" s="4">
        <v>14.3909584884018</v>
      </c>
      <c r="H84" s="4">
        <v>13.765477418876801</v>
      </c>
      <c r="I84" s="4">
        <v>13.052364820499999</v>
      </c>
      <c r="J84" s="4">
        <v>9.1866664588113505</v>
      </c>
      <c r="K84" s="4">
        <v>10.458011774674</v>
      </c>
      <c r="L84" s="4">
        <v>13.3804690225573</v>
      </c>
      <c r="M84" s="4">
        <v>12.7570293744584</v>
      </c>
      <c r="N84" s="4">
        <v>11.3144934094148</v>
      </c>
      <c r="O84" s="4">
        <v>9.5698577760314691</v>
      </c>
      <c r="P84" s="4">
        <v>9.0704050295154808</v>
      </c>
      <c r="Q84" s="4">
        <v>15.816360330933801</v>
      </c>
      <c r="R84" s="4">
        <v>13.1269846119893</v>
      </c>
      <c r="S84" s="4">
        <v>13.0349766466178</v>
      </c>
      <c r="T84" s="4">
        <v>13.991609359995699</v>
      </c>
      <c r="U84" s="4">
        <v>12.5039023369256</v>
      </c>
      <c r="V84" s="4">
        <v>15.786396527457701</v>
      </c>
      <c r="W84" s="4">
        <v>11.324022114464499</v>
      </c>
      <c r="X84" s="4">
        <v>10.7903735753936</v>
      </c>
      <c r="Y84" s="4">
        <v>12.6809901110912</v>
      </c>
      <c r="Z84" s="4">
        <v>15.386702089650599</v>
      </c>
      <c r="AA84" s="4">
        <v>14.1187961938311</v>
      </c>
      <c r="AB84" s="4">
        <v>14.3635109686153</v>
      </c>
      <c r="AC84" s="4">
        <v>10.689330991982199</v>
      </c>
      <c r="AD84" s="4">
        <v>15.390542759008399</v>
      </c>
      <c r="AE84">
        <v>1.73291</v>
      </c>
      <c r="AF84">
        <v>4.9910100000000002</v>
      </c>
      <c r="AG84">
        <v>6.0189700000000004</v>
      </c>
      <c r="AH84" t="s">
        <v>373</v>
      </c>
      <c r="AI84">
        <v>4.1328300000000002</v>
      </c>
      <c r="AJ84">
        <v>6.32883</v>
      </c>
      <c r="AK84">
        <v>0.93350999999999995</v>
      </c>
      <c r="AL84">
        <v>10.970969999999999</v>
      </c>
      <c r="AM84">
        <v>12.950369999999999</v>
      </c>
      <c r="AN84">
        <v>3.10324</v>
      </c>
      <c r="AO84">
        <v>0.83145999999999998</v>
      </c>
      <c r="AP84">
        <v>4.1154200000000003</v>
      </c>
      <c r="AQ84">
        <v>-0.56904999999999994</v>
      </c>
      <c r="AR84">
        <v>-1.30823</v>
      </c>
      <c r="AS84">
        <v>-1.6644000000000001</v>
      </c>
      <c r="AT84">
        <v>6.8728999999999996</v>
      </c>
      <c r="AU84">
        <v>1.9883999999999999</v>
      </c>
      <c r="AV84">
        <v>5.1910800000000004</v>
      </c>
      <c r="AW84">
        <v>-0.93686000000000003</v>
      </c>
      <c r="AX84">
        <v>-0.47156999999999999</v>
      </c>
      <c r="AY84">
        <v>9.0342300000000009</v>
      </c>
      <c r="AZ84">
        <v>3.0652200000000001</v>
      </c>
      <c r="BA84">
        <v>3.05823</v>
      </c>
      <c r="BB84">
        <v>12.59027</v>
      </c>
      <c r="BC84" s="4">
        <f>Y84-Q84</f>
        <v>-3.135370219842601</v>
      </c>
      <c r="BD84">
        <f t="shared" si="1"/>
        <v>1.6818199999999992</v>
      </c>
    </row>
    <row r="85" spans="1:56" x14ac:dyDescent="0.35">
      <c r="A85" t="s">
        <v>378</v>
      </c>
      <c r="B85" t="s">
        <v>379</v>
      </c>
      <c r="C85" t="s">
        <v>380</v>
      </c>
      <c r="D85" t="s">
        <v>63</v>
      </c>
      <c r="E85">
        <v>60</v>
      </c>
      <c r="F85" t="s">
        <v>401</v>
      </c>
      <c r="G85" s="4">
        <v>14.717856153930001</v>
      </c>
      <c r="H85" s="4">
        <v>14.0730720728283</v>
      </c>
      <c r="I85" s="4">
        <v>11.204845371122399</v>
      </c>
      <c r="J85" s="4">
        <v>9.2834036343359401</v>
      </c>
      <c r="K85" s="4">
        <v>11.653304031368201</v>
      </c>
      <c r="L85" s="4">
        <v>12.9392216379152</v>
      </c>
      <c r="M85" s="4">
        <v>16.629562624177701</v>
      </c>
      <c r="N85" s="4">
        <v>11.7686695137585</v>
      </c>
      <c r="O85" s="4">
        <v>11.9776407986772</v>
      </c>
      <c r="P85" s="4">
        <v>9.8622125474615991</v>
      </c>
      <c r="Q85" s="4">
        <v>16.260199560535899</v>
      </c>
      <c r="R85" s="4">
        <v>14.933122332494399</v>
      </c>
      <c r="S85" s="4">
        <v>12.4270185256511</v>
      </c>
      <c r="T85" s="4">
        <v>14.212035135867399</v>
      </c>
      <c r="U85" s="4">
        <v>13.091858808552701</v>
      </c>
      <c r="V85" s="4">
        <v>14.7689667960598</v>
      </c>
      <c r="W85" s="4">
        <v>12.5495982835099</v>
      </c>
      <c r="X85" s="4">
        <v>12.210860389114499</v>
      </c>
      <c r="Y85" s="4">
        <v>13.0662346213111</v>
      </c>
      <c r="Z85" s="4">
        <v>15.469901978198701</v>
      </c>
      <c r="AA85" s="4">
        <v>14.340293315025701</v>
      </c>
      <c r="AB85" s="4">
        <v>16.6119808123028</v>
      </c>
      <c r="AC85" s="4">
        <v>10.981247333424401</v>
      </c>
      <c r="AD85" s="4">
        <v>15.1425542489427</v>
      </c>
      <c r="AE85">
        <v>1.9373100000000001</v>
      </c>
      <c r="AF85">
        <v>4.9344400000000004</v>
      </c>
      <c r="AG85">
        <v>6.8804299999999996</v>
      </c>
      <c r="AH85" t="s">
        <v>381</v>
      </c>
      <c r="AI85">
        <v>4.6052099999999996</v>
      </c>
      <c r="AJ85">
        <v>6.6903899999999998</v>
      </c>
      <c r="AK85">
        <v>1.52556</v>
      </c>
      <c r="AL85">
        <v>10.15127</v>
      </c>
      <c r="AM85">
        <v>13.44782</v>
      </c>
      <c r="AN85">
        <v>2.7256800000000001</v>
      </c>
      <c r="AO85">
        <v>1.1649400000000001</v>
      </c>
      <c r="AP85">
        <v>5.2402899999999999</v>
      </c>
      <c r="AQ85">
        <v>0.18196000000000001</v>
      </c>
      <c r="AR85">
        <v>-0.78500999999999999</v>
      </c>
      <c r="AS85">
        <v>-1.14741</v>
      </c>
      <c r="AT85">
        <v>7.2449899999999996</v>
      </c>
      <c r="AU85">
        <v>1.95557</v>
      </c>
      <c r="AV85">
        <v>5.3376599999999996</v>
      </c>
      <c r="AW85">
        <v>-0.67269000000000001</v>
      </c>
      <c r="AX85">
        <v>-0.26318000000000003</v>
      </c>
      <c r="AY85">
        <v>9.4870999999999999</v>
      </c>
      <c r="AZ85">
        <v>4.38931</v>
      </c>
      <c r="BA85">
        <v>3.0560800000000001</v>
      </c>
      <c r="BB85">
        <v>12.44875</v>
      </c>
      <c r="BC85" s="4">
        <f>Y85-Q85</f>
        <v>-3.1939649392247986</v>
      </c>
      <c r="BD85">
        <f t="shared" si="1"/>
        <v>1.90733</v>
      </c>
    </row>
    <row r="86" spans="1:56" x14ac:dyDescent="0.35">
      <c r="A86" t="s">
        <v>386</v>
      </c>
      <c r="B86" t="s">
        <v>387</v>
      </c>
      <c r="C86" t="s">
        <v>388</v>
      </c>
      <c r="D86" t="s">
        <v>63</v>
      </c>
      <c r="E86">
        <v>53</v>
      </c>
      <c r="F86" t="s">
        <v>402</v>
      </c>
      <c r="G86" s="4">
        <v>15.4273775996003</v>
      </c>
      <c r="H86" s="4">
        <v>14.219302695560099</v>
      </c>
      <c r="I86" s="4">
        <v>14.316597830430901</v>
      </c>
      <c r="J86" s="4">
        <v>10.6812405421666</v>
      </c>
      <c r="K86" s="4">
        <v>12.483790908234401</v>
      </c>
      <c r="L86" s="4">
        <v>13.1106619402576</v>
      </c>
      <c r="M86" s="4">
        <v>14.316909486407299</v>
      </c>
      <c r="N86" s="4">
        <v>12.433578555242899</v>
      </c>
      <c r="O86" s="4">
        <v>11.1393604671063</v>
      </c>
      <c r="P86" s="4">
        <v>8.9464210605797199</v>
      </c>
      <c r="Q86" s="4">
        <v>18.097798262311301</v>
      </c>
      <c r="R86" s="4">
        <v>12.8787009389488</v>
      </c>
      <c r="S86" s="4">
        <v>12.0927059379179</v>
      </c>
      <c r="T86" s="4">
        <v>12.865753064562099</v>
      </c>
      <c r="U86" s="4">
        <v>13.118931540360199</v>
      </c>
      <c r="V86" s="4">
        <v>17.661011147248701</v>
      </c>
      <c r="W86" s="4">
        <v>11.048900011369399</v>
      </c>
      <c r="X86" s="4">
        <v>10.7507207084796</v>
      </c>
      <c r="Y86" s="4">
        <v>14.133102863169199</v>
      </c>
      <c r="Z86" s="4">
        <v>15.0842598404105</v>
      </c>
      <c r="AA86" s="4">
        <v>13.378317378703301</v>
      </c>
      <c r="AB86" s="4">
        <v>16.236522566580899</v>
      </c>
      <c r="AC86" s="4">
        <v>11.413279204691699</v>
      </c>
      <c r="AD86" s="4">
        <v>14.9356097857222</v>
      </c>
      <c r="AE86">
        <v>2.0289299999999999</v>
      </c>
      <c r="AF86">
        <v>6.3718599999999999</v>
      </c>
      <c r="AG86">
        <v>7.6242099999999997</v>
      </c>
      <c r="AH86" t="s">
        <v>389</v>
      </c>
      <c r="AI86">
        <v>5.1024099999999999</v>
      </c>
      <c r="AJ86">
        <v>7.0457599999999996</v>
      </c>
      <c r="AK86">
        <v>1.57351</v>
      </c>
      <c r="AL86">
        <v>12.34681</v>
      </c>
      <c r="AM86">
        <v>13.63654</v>
      </c>
      <c r="AN86">
        <v>3.4876399999999999</v>
      </c>
      <c r="AO86">
        <v>1.23763</v>
      </c>
      <c r="AP86">
        <v>4.3895099999999996</v>
      </c>
      <c r="AQ86">
        <v>2.4570000000000002E-2</v>
      </c>
      <c r="AR86">
        <v>0.11484</v>
      </c>
      <c r="AS86">
        <v>-0.33595000000000003</v>
      </c>
      <c r="AT86">
        <v>8.4879899999999999</v>
      </c>
      <c r="AU86">
        <v>1.89303</v>
      </c>
      <c r="AV86">
        <v>7.2007599999999998</v>
      </c>
      <c r="AW86">
        <v>-0.54447000000000001</v>
      </c>
      <c r="AX86">
        <v>-3.0970000000000001E-2</v>
      </c>
      <c r="AY86">
        <v>8.42896</v>
      </c>
      <c r="AZ86">
        <v>3.95404</v>
      </c>
      <c r="BA86">
        <v>3.1858200000000001</v>
      </c>
      <c r="BB86">
        <v>12.45401</v>
      </c>
      <c r="BC86" s="4">
        <f>Y86-Q86</f>
        <v>-3.9646953991421015</v>
      </c>
      <c r="BD86">
        <f t="shared" si="1"/>
        <v>1.2872300000000001</v>
      </c>
    </row>
    <row r="87" spans="1:56" x14ac:dyDescent="0.35">
      <c r="A87" t="s">
        <v>394</v>
      </c>
      <c r="B87" t="s">
        <v>395</v>
      </c>
      <c r="C87" t="s">
        <v>396</v>
      </c>
      <c r="D87" t="s">
        <v>63</v>
      </c>
      <c r="E87">
        <v>59</v>
      </c>
      <c r="F87" t="s">
        <v>401</v>
      </c>
      <c r="G87" s="4">
        <v>14.0212159374833</v>
      </c>
      <c r="H87" s="4">
        <v>14.6999902595902</v>
      </c>
      <c r="I87" s="4">
        <v>13.5005181845442</v>
      </c>
      <c r="J87" s="4">
        <v>10.022524882550099</v>
      </c>
      <c r="K87" s="4">
        <v>12.3245666507481</v>
      </c>
      <c r="L87" s="4">
        <v>13.893646233239499</v>
      </c>
      <c r="M87" s="4">
        <v>15.404692712716001</v>
      </c>
      <c r="N87" s="4">
        <v>12.8059932588866</v>
      </c>
      <c r="O87" s="4">
        <v>9.1079151625748</v>
      </c>
      <c r="P87" s="4">
        <v>11.1550409435656</v>
      </c>
      <c r="Q87" s="4">
        <v>14.1660056022942</v>
      </c>
      <c r="R87" s="4">
        <v>14.129782035540099</v>
      </c>
      <c r="S87" s="4">
        <v>12.7505059478317</v>
      </c>
      <c r="T87" s="4">
        <v>12.7459962095046</v>
      </c>
      <c r="U87" s="4">
        <v>13.3530926949008</v>
      </c>
      <c r="V87" s="4">
        <v>16.2292278155392</v>
      </c>
      <c r="W87" s="4">
        <v>13.880027255668301</v>
      </c>
      <c r="X87" s="4">
        <v>15.788641535254801</v>
      </c>
      <c r="Y87" s="4">
        <v>13.967874599313401</v>
      </c>
      <c r="Z87" s="4">
        <v>15.7197940191745</v>
      </c>
      <c r="AA87" s="4">
        <v>13.865545687831</v>
      </c>
      <c r="AB87" s="4">
        <v>13.3941858250757</v>
      </c>
      <c r="AC87" s="4">
        <v>11.4208225816325</v>
      </c>
      <c r="AD87" s="4">
        <v>15.4671745585793</v>
      </c>
      <c r="AE87">
        <v>1.1264099999999999</v>
      </c>
      <c r="AF87">
        <v>4.9531599999999996</v>
      </c>
      <c r="AG87">
        <v>6.7097499999999997</v>
      </c>
      <c r="AH87" t="s">
        <v>397</v>
      </c>
      <c r="AI87">
        <v>4.7718299999999996</v>
      </c>
      <c r="AJ87">
        <v>5.1832000000000003</v>
      </c>
      <c r="AK87">
        <v>0.74187999999999998</v>
      </c>
      <c r="AL87">
        <v>10.687580000000001</v>
      </c>
      <c r="AM87">
        <v>13.334630000000001</v>
      </c>
      <c r="AN87">
        <v>2.4411499999999999</v>
      </c>
      <c r="AO87">
        <v>0.82208999999999999</v>
      </c>
      <c r="AP87">
        <v>5.5408900000000001</v>
      </c>
      <c r="AQ87">
        <v>-0.76520999999999995</v>
      </c>
      <c r="AR87">
        <v>-1.50959</v>
      </c>
      <c r="AS87">
        <v>-1.44679</v>
      </c>
      <c r="AT87">
        <v>7.4822800000000003</v>
      </c>
      <c r="AU87">
        <v>1.4509399999999999</v>
      </c>
      <c r="AV87">
        <v>2.7314500000000002</v>
      </c>
      <c r="AW87">
        <v>-1.4275599999999999</v>
      </c>
      <c r="AX87">
        <v>-1.08928</v>
      </c>
      <c r="AY87">
        <v>8.3187999999999995</v>
      </c>
      <c r="AZ87">
        <v>1.5781499999999999</v>
      </c>
      <c r="BA87">
        <v>2.5106799999999998</v>
      </c>
      <c r="BB87">
        <v>11.91141</v>
      </c>
      <c r="BC87" s="4">
        <f>Y87-Q87</f>
        <v>-0.19813100298079966</v>
      </c>
      <c r="BD87">
        <f t="shared" si="1"/>
        <v>4.7508300000000006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 olink vs alamar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 Kodosaki</dc:creator>
  <cp:lastModifiedBy>Ria Kodosaki</cp:lastModifiedBy>
  <dcterms:created xsi:type="dcterms:W3CDTF">2024-02-05T16:24:42Z</dcterms:created>
  <dcterms:modified xsi:type="dcterms:W3CDTF">2026-04-15T12:23:00Z</dcterms:modified>
</cp:coreProperties>
</file>